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RM Marcas" sheetId="1" state="visible" r:id="rId3"/>
    <sheet name="Banco de Ideias" sheetId="2" state="visible" r:id="rId4"/>
    <sheet name="Calendario" sheetId="3" state="visible" r:id="rId5"/>
    <sheet name="Parcerias" sheetId="4" state="visible" r:id="rId6"/>
    <sheet name="Metricas" sheetId="5" state="visible" r:id="rId7"/>
    <sheet name="Meta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<sst xmlns="http://schemas.openxmlformats.org/spreadsheetml/2006/main" count="392" uniqueCount="231">
  <si>
    <t xml:space="preserve">ARWEN HQ  ✦  CRM DE MARCAS</t>
  </si>
  <si>
    <t xml:space="preserve">Controle de toda prospeccao — quem contatou, status, proximo passo</t>
  </si>
  <si>
    <t xml:space="preserve">Marca</t>
  </si>
  <si>
    <t xml:space="preserve">Categoria</t>
  </si>
  <si>
    <t xml:space="preserve">Temperatura</t>
  </si>
  <si>
    <t xml:space="preserve">Canal de Contato</t>
  </si>
  <si>
    <t xml:space="preserve">Data 1o Contato</t>
  </si>
  <si>
    <t xml:space="preserve">Status</t>
  </si>
  <si>
    <t xml:space="preserve">Resposta</t>
  </si>
  <si>
    <t xml:space="preserve">Proximo Passo</t>
  </si>
  <si>
    <t xml:space="preserve">Data Prox. Passo</t>
  </si>
  <si>
    <t xml:space="preserve">Valor Proposto (R$)</t>
  </si>
  <si>
    <t xml:space="preserve">Notas</t>
  </si>
  <si>
    <t xml:space="preserve">Amazon Afiliados</t>
  </si>
  <si>
    <t xml:space="preserve">Tech</t>
  </si>
  <si>
    <t xml:space="preserve">Quente</t>
  </si>
  <si>
    <t xml:space="preserve">Site (afiliados.amazon.com.br)</t>
  </si>
  <si>
    <t xml:space="preserve">A fazer</t>
  </si>
  <si>
    <t xml:space="preserve">Cadastrar conta</t>
  </si>
  <si>
    <t xml:space="preserve">Cadastro livre — comeca a monetizar hoje</t>
  </si>
  <si>
    <t xml:space="preserve">Epic Support-A-Creator</t>
  </si>
  <si>
    <t xml:space="preserve">Games</t>
  </si>
  <si>
    <t xml:space="preserve">creators.epicgames.com</t>
  </si>
  <si>
    <t xml:space="preserve">Aplicar com codigo</t>
  </si>
  <si>
    <t xml:space="preserve">Cadastro livre — joga Fortnite</t>
  </si>
  <si>
    <t xml:space="preserve">Kabum Afiliados</t>
  </si>
  <si>
    <t xml:space="preserve">Tech/Games</t>
  </si>
  <si>
    <t xml:space="preserve">Site Kabum</t>
  </si>
  <si>
    <t xml:space="preserve">Cadastrar</t>
  </si>
  <si>
    <t xml:space="preserve">Varejo gamer — cadastro livre</t>
  </si>
  <si>
    <t xml:space="preserve">Chico Rei</t>
  </si>
  <si>
    <t xml:space="preserve">Colecionaveis</t>
  </si>
  <si>
    <t xml:space="preserve">chicorei.com (afiliados)</t>
  </si>
  <si>
    <t xml:space="preserve">Entrar no programa</t>
  </si>
  <si>
    <t xml:space="preserve">Roupa geek — cadastro aberto</t>
  </si>
  <si>
    <t xml:space="preserve">TIM House</t>
  </si>
  <si>
    <t xml:space="preserve">Plataforma</t>
  </si>
  <si>
    <t xml:space="preserve">Google 'TIM House creators'</t>
  </si>
  <si>
    <t xml:space="preserve">Aplicar p/ campanha</t>
  </si>
  <si>
    <t xml:space="preserve">Campanha ativa R$50k+iPhone 17</t>
  </si>
  <si>
    <t xml:space="preserve">Supercell Creators</t>
  </si>
  <si>
    <t xml:space="preserve">supercell.com/creators</t>
  </si>
  <si>
    <t xml:space="preserve">Aplicar</t>
  </si>
  <si>
    <t xml:space="preserve">Joga Brawl Stars — programa oficial</t>
  </si>
  <si>
    <t xml:space="preserve">Redragon Brasil</t>
  </si>
  <si>
    <t xml:space="preserve">DM Instagram @redragonbrasil</t>
  </si>
  <si>
    <t xml:space="preserve">Mandar e-mail (template #1)</t>
  </si>
  <si>
    <t xml:space="preserve">Pega micro creators</t>
  </si>
  <si>
    <t xml:space="preserve">Mia Make</t>
  </si>
  <si>
    <t xml:space="preserve">Beleza</t>
  </si>
  <si>
    <t xml:space="preserve">DM Instagram @miamake</t>
  </si>
  <si>
    <t xml:space="preserve">Mandar e-mail (template #5)</t>
  </si>
  <si>
    <t xml:space="preserve">Make acessivel — pega nano/micro</t>
  </si>
  <si>
    <t xml:space="preserve">POP MART Brasil</t>
  </si>
  <si>
    <t xml:space="preserve">DM/e-mail @popmart_brasil</t>
  </si>
  <si>
    <t xml:space="preserve">Mandar e-mail (template #4)</t>
  </si>
  <si>
    <t xml:space="preserve">Blind boxes — em expansao no BR</t>
  </si>
  <si>
    <t xml:space="preserve">Editora V&amp;R / Verus</t>
  </si>
  <si>
    <t xml:space="preserve">Livros</t>
  </si>
  <si>
    <t xml:space="preserve">E-mail divulgacao</t>
  </si>
  <si>
    <t xml:space="preserve">Mandar e-mail (template #3)</t>
  </si>
  <si>
    <t xml:space="preserve">Combina com Quarta Asa/OUABH</t>
  </si>
  <si>
    <t xml:space="preserve">Vult</t>
  </si>
  <si>
    <t xml:space="preserve">Morna</t>
  </si>
  <si>
    <t xml:space="preserve">DM @vult + assessoria</t>
  </si>
  <si>
    <t xml:space="preserve">Mandar e-mail (template #2)</t>
  </si>
  <si>
    <t xml:space="preserve">Quem Disse Berenice</t>
  </si>
  <si>
    <t xml:space="preserve">Assessoria Grupo Boticario</t>
  </si>
  <si>
    <t xml:space="preserve">Mandar e-mail (template #7)</t>
  </si>
  <si>
    <t xml:space="preserve">Editora Rocco</t>
  </si>
  <si>
    <t xml:space="preserve">Site Rocco</t>
  </si>
  <si>
    <t xml:space="preserve">Mandar e-mail (template #11)</t>
  </si>
  <si>
    <t xml:space="preserve">Harry Potter e da Rocco!</t>
  </si>
  <si>
    <t xml:space="preserve">Anker Brasil</t>
  </si>
  <si>
    <t xml:space="preserve">DM @ankerbrasil</t>
  </si>
  <si>
    <t xml:space="preserve">Mandar e-mail (template #9)</t>
  </si>
  <si>
    <t xml:space="preserve">Ruby Rose</t>
  </si>
  <si>
    <t xml:space="preserve">DM @rubyroseoficial</t>
  </si>
  <si>
    <t xml:space="preserve">Mandar e-mail (template #12)</t>
  </si>
  <si>
    <t xml:space="preserve">Pega muito micro creator</t>
  </si>
  <si>
    <t xml:space="preserve">ARWEN HQ  ✦  BANCO DE IDEIAS</t>
  </si>
  <si>
    <t xml:space="preserve">Nunca mais 'nao sei o que postar' — toda ideia vai pra ca</t>
  </si>
  <si>
    <t xml:space="preserve">Ideia</t>
  </si>
  <si>
    <t xml:space="preserve">Nicho</t>
  </si>
  <si>
    <t xml:space="preserve">Quadro</t>
  </si>
  <si>
    <t xml:space="preserve">Formato</t>
  </si>
  <si>
    <t xml:space="preserve">Prioridade</t>
  </si>
  <si>
    <t xml:space="preserve">Trend?</t>
  </si>
  <si>
    <t xml:space="preserve">Data Ideal</t>
  </si>
  <si>
    <t xml:space="preserve">Notas/Roteiro</t>
  </si>
  <si>
    <t xml:space="preserve">NTE em 30 segundos — gameplay + 3 dicas</t>
  </si>
  <si>
    <t xml:space="preserve">Arwen Joga</t>
  </si>
  <si>
    <t xml:space="preserve">Reel</t>
  </si>
  <si>
    <t xml:space="preserve">Roteiro pronto</t>
  </si>
  <si>
    <t xml:space="preserve">Alta</t>
  </si>
  <si>
    <t xml:space="preserve">Nao</t>
  </si>
  <si>
    <t xml:space="preserve">Roteiro #1 no BACKLOG_10_VIDEOS.md</t>
  </si>
  <si>
    <t xml:space="preserve">Quarta Asa &gt; Hunger Games (hot take)</t>
  </si>
  <si>
    <t xml:space="preserve">Arwen Tem Opiniao</t>
  </si>
  <si>
    <t xml:space="preserve">Roteiro #2</t>
  </si>
  <si>
    <t xml:space="preserve">Character make Yor Forger</t>
  </si>
  <si>
    <t xml:space="preserve">Make</t>
  </si>
  <si>
    <t xml:space="preserve">Arwen se Arruma</t>
  </si>
  <si>
    <t xml:space="preserve">Roteiro #3</t>
  </si>
  <si>
    <t xml:space="preserve">3 manhwas pra comecar no Comick Key</t>
  </si>
  <si>
    <t xml:space="preserve">Manhwa</t>
  </si>
  <si>
    <t xml:space="preserve">A Arwen Indica</t>
  </si>
  <si>
    <t xml:space="preserve">Media</t>
  </si>
  <si>
    <t xml:space="preserve">Roteiro #4</t>
  </si>
  <si>
    <t xml:space="preserve">Surto: trailer de release recente</t>
  </si>
  <si>
    <t xml:space="preserve">Anime</t>
  </si>
  <si>
    <t xml:space="preserve">Surto Geek</t>
  </si>
  <si>
    <t xml:space="preserve">Sim</t>
  </si>
  <si>
    <t xml:space="preserve">Roteiro #5 — depende de release</t>
  </si>
  <si>
    <t xml:space="preserve">Setup tour da geek</t>
  </si>
  <si>
    <t xml:space="preserve">Lifestyle</t>
  </si>
  <si>
    <t xml:space="preserve">Roteiro #6</t>
  </si>
  <si>
    <t xml:space="preserve">Mario Kart highlight — corrida epica</t>
  </si>
  <si>
    <t xml:space="preserve">Nintendo</t>
  </si>
  <si>
    <t xml:space="preserve">Roteiro #7</t>
  </si>
  <si>
    <t xml:space="preserve">Unboxing blind box / Funko</t>
  </si>
  <si>
    <t xml:space="preserve">Colecionavel</t>
  </si>
  <si>
    <t xml:space="preserve">Arwen Testa</t>
  </si>
  <si>
    <t xml:space="preserve">Roteiro #8</t>
  </si>
  <si>
    <t xml:space="preserve">Ranking polemico dos Funkos</t>
  </si>
  <si>
    <t xml:space="preserve">Roteiro #9</t>
  </si>
  <si>
    <t xml:space="preserve">Make inspirada em capa de livro (crossover)</t>
  </si>
  <si>
    <t xml:space="preserve">Crossover</t>
  </si>
  <si>
    <t xml:space="preserve">Roteiro #10</t>
  </si>
  <si>
    <t xml:space="preserve">POV: dev acha game mobile que respeita seu tempo</t>
  </si>
  <si>
    <t xml:space="preserve">Trend POV adaptada</t>
  </si>
  <si>
    <t xml:space="preserve">Tier list dos livros lidos esse ano</t>
  </si>
  <si>
    <t xml:space="preserve">Formato tier list</t>
  </si>
  <si>
    <t xml:space="preserve">5 verdades sobre colecionar que ninguem conta</t>
  </si>
  <si>
    <t xml:space="preserve">Carrossel</t>
  </si>
  <si>
    <t xml:space="preserve">Baixa</t>
  </si>
  <si>
    <t xml:space="preserve">Formato 'coisas que ninguem conta'</t>
  </si>
  <si>
    <t xml:space="preserve">ARWEN HQ  ✦  CALENDARIO DE CONTEUDO</t>
  </si>
  <si>
    <t xml:space="preserve">Planejamento de postagens — veja CALENDARIO_30_DIAS.md p/ o plano completo</t>
  </si>
  <si>
    <t xml:space="preserve">Data</t>
  </si>
  <si>
    <t xml:space="preserve">Hora</t>
  </si>
  <si>
    <t xml:space="preserve">Post</t>
  </si>
  <si>
    <t xml:space="preserve">Legenda/Notas</t>
  </si>
  <si>
    <t xml:space="preserve">2026-05-13</t>
  </si>
  <si>
    <t xml:space="preserve">19:00</t>
  </si>
  <si>
    <t xml:space="preserve">REEL #1 — Video de apresentacao (pinned)</t>
  </si>
  <si>
    <t xml:space="preserve">Instagram</t>
  </si>
  <si>
    <t xml:space="preserve">Planejado</t>
  </si>
  <si>
    <t xml:space="preserve">Roteiro em ROTEIRO_APRESENTACAO.md</t>
  </si>
  <si>
    <t xml:space="preserve">2026-05-14</t>
  </si>
  <si>
    <t xml:space="preserve">20:00</t>
  </si>
  <si>
    <t xml:space="preserve">REEL #2 — Arwen Joga: NTE quick gameplay</t>
  </si>
  <si>
    <t xml:space="preserve">Roteiro #1</t>
  </si>
  <si>
    <t xml:space="preserve">2026-05-15</t>
  </si>
  <si>
    <t xml:space="preserve">17:00</t>
  </si>
  <si>
    <t xml:space="preserve">CARROSSEL #1 — 5 livros de fantasia</t>
  </si>
  <si>
    <t xml:space="preserve">2026-05-16</t>
  </si>
  <si>
    <t xml:space="preserve">11:00</t>
  </si>
  <si>
    <t xml:space="preserve">REEL #3 — Arwen se Arruma: make do dia</t>
  </si>
  <si>
    <t xml:space="preserve">2026-05-17</t>
  </si>
  <si>
    <t xml:space="preserve">REEL #4 — Surto Geek: reacao a release</t>
  </si>
  <si>
    <t xml:space="preserve">Roteiro #5</t>
  </si>
  <si>
    <t xml:space="preserve">2026-05-19</t>
  </si>
  <si>
    <t xml:space="preserve">REEL #5 — Arwen Tem Opiniao: ranking</t>
  </si>
  <si>
    <t xml:space="preserve">Opiniao</t>
  </si>
  <si>
    <t xml:space="preserve">2026-05-21</t>
  </si>
  <si>
    <t xml:space="preserve">REEL #6 — Unboxing blind box / Funko</t>
  </si>
  <si>
    <t xml:space="preserve">2026-05-22</t>
  </si>
  <si>
    <t xml:space="preserve">CARROSSEL #2 — 3 animes de 2026</t>
  </si>
  <si>
    <t xml:space="preserve">2026-05-23</t>
  </si>
  <si>
    <t xml:space="preserve">REEL #7 — Nintendo: dica Mario Wonder</t>
  </si>
  <si>
    <t xml:space="preserve">2026-05-24</t>
  </si>
  <si>
    <t xml:space="preserve">REEL #8 — Character make personagem</t>
  </si>
  <si>
    <t xml:space="preserve">2026-05-26</t>
  </si>
  <si>
    <t xml:space="preserve">REEL #9 — BookTok: review livro fisico</t>
  </si>
  <si>
    <t xml:space="preserve">ARWEN HQ  ✦  PARCERIAS &amp; CONTRATOS</t>
  </si>
  <si>
    <t xml:space="preserve">Controle de parcerias fechadas — entregas, prazos, pagamentos, NF</t>
  </si>
  <si>
    <t xml:space="preserve">Parceria/Marca</t>
  </si>
  <si>
    <t xml:space="preserve">Tipo</t>
  </si>
  <si>
    <t xml:space="preserve">Valor (R$)</t>
  </si>
  <si>
    <t xml:space="preserve">Briefing OK?</t>
  </si>
  <si>
    <t xml:space="preserve">Contrato OK?</t>
  </si>
  <si>
    <t xml:space="preserve">Data Entrega</t>
  </si>
  <si>
    <t xml:space="preserve">Data Publicacao</t>
  </si>
  <si>
    <t xml:space="preserve">50% Pago?</t>
  </si>
  <si>
    <t xml:space="preserve">Pgto Final?</t>
  </si>
  <si>
    <t xml:space="preserve">NF Emitida?</t>
  </si>
  <si>
    <t xml:space="preserve">Link Conteudo</t>
  </si>
  <si>
    <t xml:space="preserve">TOTAL RECEBIDO:</t>
  </si>
  <si>
    <t xml:space="preserve">EM NEGOCIACAO:</t>
  </si>
  <si>
    <t xml:space="preserve">GUARDAR P/ IMPOSTO (15%):</t>
  </si>
  <si>
    <t xml:space="preserve">ARWEN HQ  ✦  METRICAS SEMANAIS</t>
  </si>
  <si>
    <t xml:space="preserve">Toda segunda, 5 min preenchendo. No fim do trimestre, ve o crescimento.</t>
  </si>
  <si>
    <t xml:space="preserve">Semana</t>
  </si>
  <si>
    <t xml:space="preserve">Data Fechamento</t>
  </si>
  <si>
    <t xml:space="preserve">Seguidores IG</t>
  </si>
  <si>
    <t xml:space="preserve">Ganho na Semana</t>
  </si>
  <si>
    <t xml:space="preserve">Views Totais</t>
  </si>
  <si>
    <t xml:space="preserve">Engajamento Medio</t>
  </si>
  <si>
    <t xml:space="preserve">Shares</t>
  </si>
  <si>
    <t xml:space="preserve">Seguidores TikTok</t>
  </si>
  <si>
    <t xml:space="preserve">Inscritos YouTube</t>
  </si>
  <si>
    <t xml:space="preserve">E-mails Enviados</t>
  </si>
  <si>
    <t xml:space="preserve">Respostas Marca</t>
  </si>
  <si>
    <t xml:space="preserve">Receita Semana (R$)</t>
  </si>
  <si>
    <t xml:space="preserve">Melhor Post</t>
  </si>
  <si>
    <t xml:space="preserve">Aprendizado</t>
  </si>
  <si>
    <t xml:space="preserve">Baseline 13/05</t>
  </si>
  <si>
    <t xml:space="preserve">—</t>
  </si>
  <si>
    <t xml:space="preserve">Ponto de partida</t>
  </si>
  <si>
    <t xml:space="preserve">RECEITA ACUMULADA:</t>
  </si>
  <si>
    <t xml:space="preserve">ARWEN HQ  ✦  METAS 90 DIAS</t>
  </si>
  <si>
    <t xml:space="preserve">Maio - Agosto 2026 — veja ESTRATEGIA_CRESCIMENTO.md para o plano completo</t>
  </si>
  <si>
    <t xml:space="preserve">Meta</t>
  </si>
  <si>
    <t xml:space="preserve">Valor Hoje</t>
  </si>
  <si>
    <t xml:space="preserve">Meta 90 dias</t>
  </si>
  <si>
    <t xml:space="preserve">Atual</t>
  </si>
  <si>
    <t xml:space="preserve">% Atingido</t>
  </si>
  <si>
    <t xml:space="preserve">Seguidores Instagram</t>
  </si>
  <si>
    <t xml:space="preserve">Crescimento</t>
  </si>
  <si>
    <t xml:space="preserve">Views por Reel (media)</t>
  </si>
  <si>
    <t xml:space="preserve">Views totais por mes</t>
  </si>
  <si>
    <t xml:space="preserve">Cadastros em plataformas</t>
  </si>
  <si>
    <t xml:space="preserve">Prospeccao</t>
  </si>
  <si>
    <t xml:space="preserve">Marcas prospectadas</t>
  </si>
  <si>
    <t xml:space="preserve">Parcerias fechadas</t>
  </si>
  <si>
    <t xml:space="preserve">Receita</t>
  </si>
  <si>
    <t xml:space="preserve">Receita acumulada (R$)</t>
  </si>
  <si>
    <t xml:space="preserve">UGC entregues</t>
  </si>
  <si>
    <t xml:space="preserve">Conteudo</t>
  </si>
  <si>
    <t xml:space="preserve">COMO USAR: atualize a coluna 'Atual' toda semana. As colunas % e Status calculam sozinhas.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</si>
</sst>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&quot;R$ &quot;#,##0.00"/>
    <numFmt numFmtId="166" formatCode="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5A189A"/>
      <name val="Arial"/>
      <family val="0"/>
      <charset val="1"/>
    </font>
    <font>
      <i val="true"/>
      <sz val="10"/>
      <color rgb="FF9D4EDD"/>
      <name val="Arial"/>
      <family val="0"/>
      <charset val="1"/>
    </font>
    <font>
      <b val="true"/>
      <sz val="11"/>
      <color rgb="FFF5F1E8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5A189A"/>
      <name val="Arial"/>
      <family val="0"/>
      <charset val="1"/>
    </font>
    <font>
      <b val="true"/>
      <sz val="12"/>
      <color rgb="FF16A34A"/>
      <name val="Arial"/>
      <family val="0"/>
      <charset val="1"/>
    </font>
    <font>
      <b val="true"/>
      <sz val="12"/>
      <color rgb="FF9D4EDD"/>
      <name val="Arial"/>
      <family val="0"/>
      <charset val="1"/>
    </font>
    <font>
      <b val="true"/>
      <sz val="12"/>
      <color rgb="FFDC2626"/>
      <name val="Arial"/>
      <family val="0"/>
      <charset val="1"/>
    </font>
    <font>
      <i val="true"/>
      <sz val="9"/>
      <color rgb="FF9D4EDD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5A189A"/>
        <bgColor rgb="FF800080"/>
      </patternFill>
    </fill>
    <fill>
      <patternFill patternType="solid">
        <fgColor rgb="FFF3E8FF"/>
        <bgColor rgb="FFF5F1E8"/>
      </patternFill>
    </fill>
    <fill>
      <patternFill patternType="solid">
        <fgColor rgb="FFFEF2F2"/>
        <bgColor rgb="FFF5F1E8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7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5F1E8"/>
      <rgbColor rgb="FFF3E8FF"/>
      <rgbColor rgb="FF5A189A"/>
      <rgbColor rgb="FFFF8080"/>
      <rgbColor rgb="FF0066CC"/>
      <rgbColor rgb="FFE0BB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EF2F2"/>
      <rgbColor rgb="FFDDDDDD"/>
      <rgbColor rgb="FFFFFF99"/>
      <rgbColor rgb="FF99CCFF"/>
      <rgbColor rgb="FFFF99CC"/>
      <rgbColor rgb="FFCC99FF"/>
      <rgbColor rgb="FFFCD34D"/>
      <rgbColor rgb="FF3366FF"/>
      <rgbColor rgb="FF33CCCC"/>
      <rgbColor rgb="FF99CC00"/>
      <rgbColor rgb="FFFFCC00"/>
      <rgbColor rgb="FFFF9900"/>
      <rgbColor rgb="FFFF6600"/>
      <rgbColor rgb="FF9D4EDD"/>
      <rgbColor rgb="FF969696"/>
      <rgbColor rgb="FF003366"/>
      <rgbColor rgb="FF16A34A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A189A"/>
    <pageSetUpPr fitToPage="false"/>
  </sheetPr>
  <dimension ref="A1:K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4"/>
    <col collapsed="false" customWidth="true" hidden="false" outlineLevel="0" max="3" min="3" style="0" width="13"/>
    <col collapsed="false" customWidth="true" hidden="false" outlineLevel="0" max="4" min="4" style="0" width="26"/>
    <col collapsed="false" customWidth="true" hidden="false" outlineLevel="0" max="5" min="5" style="0" width="15"/>
    <col collapsed="false" customWidth="true" hidden="false" outlineLevel="0" max="6" min="6" style="0" width="14"/>
    <col collapsed="false" customWidth="true" hidden="false" outlineLevel="0" max="7" min="7" style="0" width="22"/>
    <col collapsed="false" customWidth="true" hidden="false" outlineLevel="0" max="8" min="8" style="0" width="26"/>
    <col collapsed="false" customWidth="true" hidden="false" outlineLevel="0" max="9" min="9" style="0" width="15"/>
    <col collapsed="false" customWidth="true" hidden="false" outlineLevel="0" max="10" min="10" style="0" width="17"/>
    <col collapsed="false" customWidth="true" hidden="false" outlineLevel="0" max="11" min="11" style="0" width="3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6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customFormat="false" ht="23.85" hidden="false" customHeight="false" outlineLevel="0" collapsed="false">
      <c r="A5" s="4" t="s">
        <v>13</v>
      </c>
      <c r="B5" s="4" t="s">
        <v>14</v>
      </c>
      <c r="C5" s="4" t="s">
        <v>15</v>
      </c>
      <c r="D5" s="4" t="s">
        <v>16</v>
      </c>
      <c r="E5" s="4"/>
      <c r="F5" s="4" t="s">
        <v>17</v>
      </c>
      <c r="G5" s="4"/>
      <c r="H5" s="4" t="s">
        <v>18</v>
      </c>
      <c r="I5" s="4"/>
      <c r="J5" s="4"/>
      <c r="K5" s="4" t="s">
        <v>19</v>
      </c>
    </row>
    <row r="6" customFormat="false" ht="15" hidden="false" customHeight="false" outlineLevel="0" collapsed="false">
      <c r="A6" s="4" t="s">
        <v>20</v>
      </c>
      <c r="B6" s="4" t="s">
        <v>21</v>
      </c>
      <c r="C6" s="4" t="s">
        <v>15</v>
      </c>
      <c r="D6" s="4" t="s">
        <v>22</v>
      </c>
      <c r="E6" s="4"/>
      <c r="F6" s="4" t="s">
        <v>17</v>
      </c>
      <c r="G6" s="4"/>
      <c r="H6" s="4" t="s">
        <v>23</v>
      </c>
      <c r="I6" s="4"/>
      <c r="J6" s="4"/>
      <c r="K6" s="4" t="s">
        <v>24</v>
      </c>
    </row>
    <row r="7" customFormat="false" ht="15" hidden="false" customHeight="false" outlineLevel="0" collapsed="false">
      <c r="A7" s="4" t="s">
        <v>25</v>
      </c>
      <c r="B7" s="4" t="s">
        <v>26</v>
      </c>
      <c r="C7" s="4" t="s">
        <v>15</v>
      </c>
      <c r="D7" s="4" t="s">
        <v>27</v>
      </c>
      <c r="E7" s="4"/>
      <c r="F7" s="4" t="s">
        <v>17</v>
      </c>
      <c r="G7" s="4"/>
      <c r="H7" s="4" t="s">
        <v>28</v>
      </c>
      <c r="I7" s="4"/>
      <c r="J7" s="4"/>
      <c r="K7" s="4" t="s">
        <v>29</v>
      </c>
    </row>
    <row r="8" customFormat="false" ht="15" hidden="false" customHeight="false" outlineLevel="0" collapsed="false">
      <c r="A8" s="4" t="s">
        <v>30</v>
      </c>
      <c r="B8" s="4" t="s">
        <v>31</v>
      </c>
      <c r="C8" s="4" t="s">
        <v>15</v>
      </c>
      <c r="D8" s="4" t="s">
        <v>32</v>
      </c>
      <c r="E8" s="4"/>
      <c r="F8" s="4" t="s">
        <v>17</v>
      </c>
      <c r="G8" s="4"/>
      <c r="H8" s="4" t="s">
        <v>33</v>
      </c>
      <c r="I8" s="4"/>
      <c r="J8" s="4"/>
      <c r="K8" s="4" t="s">
        <v>34</v>
      </c>
    </row>
    <row r="9" customFormat="false" ht="15" hidden="false" customHeight="false" outlineLevel="0" collapsed="false">
      <c r="A9" s="4" t="s">
        <v>35</v>
      </c>
      <c r="B9" s="4" t="s">
        <v>36</v>
      </c>
      <c r="C9" s="4" t="s">
        <v>15</v>
      </c>
      <c r="D9" s="4" t="s">
        <v>37</v>
      </c>
      <c r="E9" s="4"/>
      <c r="F9" s="4" t="s">
        <v>17</v>
      </c>
      <c r="G9" s="4"/>
      <c r="H9" s="4" t="s">
        <v>38</v>
      </c>
      <c r="I9" s="4"/>
      <c r="J9" s="4"/>
      <c r="K9" s="4" t="s">
        <v>39</v>
      </c>
    </row>
    <row r="10" customFormat="false" ht="15" hidden="false" customHeight="false" outlineLevel="0" collapsed="false">
      <c r="A10" s="4" t="s">
        <v>40</v>
      </c>
      <c r="B10" s="4" t="s">
        <v>21</v>
      </c>
      <c r="C10" s="4" t="s">
        <v>15</v>
      </c>
      <c r="D10" s="4" t="s">
        <v>41</v>
      </c>
      <c r="E10" s="4"/>
      <c r="F10" s="4" t="s">
        <v>17</v>
      </c>
      <c r="G10" s="4"/>
      <c r="H10" s="4" t="s">
        <v>42</v>
      </c>
      <c r="I10" s="4"/>
      <c r="J10" s="4"/>
      <c r="K10" s="4" t="s">
        <v>43</v>
      </c>
    </row>
    <row r="11" customFormat="false" ht="15" hidden="false" customHeight="false" outlineLevel="0" collapsed="false">
      <c r="A11" s="4" t="s">
        <v>44</v>
      </c>
      <c r="B11" s="4" t="s">
        <v>26</v>
      </c>
      <c r="C11" s="4" t="s">
        <v>15</v>
      </c>
      <c r="D11" s="4" t="s">
        <v>45</v>
      </c>
      <c r="E11" s="4"/>
      <c r="F11" s="4" t="s">
        <v>17</v>
      </c>
      <c r="G11" s="4"/>
      <c r="H11" s="4" t="s">
        <v>46</v>
      </c>
      <c r="I11" s="4"/>
      <c r="J11" s="4"/>
      <c r="K11" s="4" t="s">
        <v>47</v>
      </c>
    </row>
    <row r="12" customFormat="false" ht="15" hidden="false" customHeight="false" outlineLevel="0" collapsed="false">
      <c r="A12" s="4" t="s">
        <v>48</v>
      </c>
      <c r="B12" s="4" t="s">
        <v>49</v>
      </c>
      <c r="C12" s="4" t="s">
        <v>15</v>
      </c>
      <c r="D12" s="4" t="s">
        <v>50</v>
      </c>
      <c r="E12" s="4"/>
      <c r="F12" s="4" t="s">
        <v>17</v>
      </c>
      <c r="G12" s="4"/>
      <c r="H12" s="4" t="s">
        <v>51</v>
      </c>
      <c r="I12" s="4"/>
      <c r="J12" s="4"/>
      <c r="K12" s="4" t="s">
        <v>52</v>
      </c>
    </row>
    <row r="13" customFormat="false" ht="15" hidden="false" customHeight="false" outlineLevel="0" collapsed="false">
      <c r="A13" s="4" t="s">
        <v>53</v>
      </c>
      <c r="B13" s="4" t="s">
        <v>31</v>
      </c>
      <c r="C13" s="4" t="s">
        <v>15</v>
      </c>
      <c r="D13" s="4" t="s">
        <v>54</v>
      </c>
      <c r="E13" s="4"/>
      <c r="F13" s="4" t="s">
        <v>17</v>
      </c>
      <c r="G13" s="4"/>
      <c r="H13" s="4" t="s">
        <v>55</v>
      </c>
      <c r="I13" s="4"/>
      <c r="J13" s="4"/>
      <c r="K13" s="4" t="s">
        <v>56</v>
      </c>
    </row>
    <row r="14" customFormat="false" ht="15" hidden="false" customHeight="false" outlineLevel="0" collapsed="false">
      <c r="A14" s="4" t="s">
        <v>57</v>
      </c>
      <c r="B14" s="4" t="s">
        <v>58</v>
      </c>
      <c r="C14" s="4" t="s">
        <v>15</v>
      </c>
      <c r="D14" s="4" t="s">
        <v>59</v>
      </c>
      <c r="E14" s="4"/>
      <c r="F14" s="4" t="s">
        <v>17</v>
      </c>
      <c r="G14" s="4"/>
      <c r="H14" s="4" t="s">
        <v>60</v>
      </c>
      <c r="I14" s="4"/>
      <c r="J14" s="4"/>
      <c r="K14" s="4" t="s">
        <v>61</v>
      </c>
    </row>
    <row r="15" customFormat="false" ht="15" hidden="false" customHeight="false" outlineLevel="0" collapsed="false">
      <c r="A15" s="4" t="s">
        <v>62</v>
      </c>
      <c r="B15" s="4" t="s">
        <v>49</v>
      </c>
      <c r="C15" s="4" t="s">
        <v>63</v>
      </c>
      <c r="D15" s="4" t="s">
        <v>64</v>
      </c>
      <c r="E15" s="4"/>
      <c r="F15" s="4" t="s">
        <v>17</v>
      </c>
      <c r="G15" s="4"/>
      <c r="H15" s="4" t="s">
        <v>65</v>
      </c>
      <c r="I15" s="4"/>
      <c r="J15" s="4"/>
      <c r="K15" s="4"/>
    </row>
    <row r="16" customFormat="false" ht="15" hidden="false" customHeight="false" outlineLevel="0" collapsed="false">
      <c r="A16" s="4" t="s">
        <v>66</v>
      </c>
      <c r="B16" s="4" t="s">
        <v>49</v>
      </c>
      <c r="C16" s="4" t="s">
        <v>15</v>
      </c>
      <c r="D16" s="4" t="s">
        <v>67</v>
      </c>
      <c r="E16" s="4"/>
      <c r="F16" s="4" t="s">
        <v>17</v>
      </c>
      <c r="G16" s="4"/>
      <c r="H16" s="4" t="s">
        <v>68</v>
      </c>
      <c r="I16" s="4"/>
      <c r="J16" s="4"/>
      <c r="K16" s="4"/>
    </row>
    <row r="17" customFormat="false" ht="15" hidden="false" customHeight="false" outlineLevel="0" collapsed="false">
      <c r="A17" s="4" t="s">
        <v>69</v>
      </c>
      <c r="B17" s="4" t="s">
        <v>58</v>
      </c>
      <c r="C17" s="4" t="s">
        <v>15</v>
      </c>
      <c r="D17" s="4" t="s">
        <v>70</v>
      </c>
      <c r="E17" s="4"/>
      <c r="F17" s="4" t="s">
        <v>17</v>
      </c>
      <c r="G17" s="4"/>
      <c r="H17" s="4" t="s">
        <v>71</v>
      </c>
      <c r="I17" s="4"/>
      <c r="J17" s="4"/>
      <c r="K17" s="4" t="s">
        <v>72</v>
      </c>
    </row>
    <row r="18" customFormat="false" ht="15" hidden="false" customHeight="false" outlineLevel="0" collapsed="false">
      <c r="A18" s="4" t="s">
        <v>73</v>
      </c>
      <c r="B18" s="4" t="s">
        <v>14</v>
      </c>
      <c r="C18" s="4" t="s">
        <v>63</v>
      </c>
      <c r="D18" s="4" t="s">
        <v>74</v>
      </c>
      <c r="E18" s="4"/>
      <c r="F18" s="4" t="s">
        <v>17</v>
      </c>
      <c r="G18" s="4"/>
      <c r="H18" s="4" t="s">
        <v>75</v>
      </c>
      <c r="I18" s="4"/>
      <c r="J18" s="4"/>
      <c r="K18" s="4"/>
    </row>
    <row r="19" customFormat="false" ht="15" hidden="false" customHeight="false" outlineLevel="0" collapsed="false">
      <c r="A19" s="4" t="s">
        <v>76</v>
      </c>
      <c r="B19" s="4" t="s">
        <v>49</v>
      </c>
      <c r="C19" s="4" t="s">
        <v>15</v>
      </c>
      <c r="D19" s="4" t="s">
        <v>77</v>
      </c>
      <c r="E19" s="4"/>
      <c r="F19" s="4" t="s">
        <v>17</v>
      </c>
      <c r="G19" s="4"/>
      <c r="H19" s="4" t="s">
        <v>78</v>
      </c>
      <c r="I19" s="4"/>
      <c r="J19" s="4"/>
      <c r="K19" s="4" t="s">
        <v>79</v>
      </c>
    </row>
    <row r="20" customFormat="false" ht="15" hidden="false" customHeight="false" outlineLevel="0" collapsed="false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</row>
    <row r="21" customFormat="false" ht="15" hidden="false" customHeight="false" outlineLevel="0" collapsed="false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</row>
    <row r="22" customFormat="false" ht="15" hidden="false" customHeight="false" outlineLevel="0" collapsed="false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</row>
    <row r="23" customFormat="false" ht="15" hidden="false" customHeight="false" outlineLevel="0" collapsed="false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</row>
    <row r="24" customFormat="false" ht="15" hidden="false" customHeight="false" outlineLevel="0" collapsed="false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</row>
    <row r="25" customFormat="false" ht="15" hidden="false" customHeight="false" outlineLevel="0" collapsed="false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</row>
    <row r="26" customFormat="false" ht="15" hidden="false" customHeight="false" outlineLevel="0" collapsed="false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</row>
    <row r="27" customFormat="false" ht="15" hidden="false" customHeight="false" outlineLevel="0" collapsed="false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</row>
    <row r="28" customFormat="false" ht="15" hidden="false" customHeight="false" outlineLevel="0" collapsed="false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</row>
    <row r="29" customFormat="false" ht="15" hidden="false" customHeight="false" outlineLevel="0" collapsed="false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</row>
    <row r="30" customFormat="false" ht="15" hidden="false" customHeight="false" outlineLevel="0" collapsed="false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</row>
    <row r="31" customFormat="false" ht="15" hidden="false" customHeight="false" outlineLevel="0" collapsed="false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</row>
    <row r="32" customFormat="false" ht="15" hidden="false" customHeight="false" outlineLevel="0" collapsed="false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</row>
    <row r="33" customFormat="false" ht="15" hidden="false" customHeight="false" outlineLevel="0" collapsed="false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</row>
    <row r="34" customFormat="false" ht="15" hidden="false" customHeight="false" outlineLevel="0" collapsed="false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</row>
    <row r="35" customFormat="false" ht="15" hidden="false" customHeight="false" outlineLevel="0" collapsed="false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</row>
    <row r="36" customFormat="false" ht="15" hidden="false" customHeight="false" outlineLevel="0" collapsed="false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</row>
    <row r="37" customFormat="false" ht="15" hidden="false" customHeight="false" outlineLevel="0" collapsed="false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</row>
    <row r="38" customFormat="false" ht="15" hidden="false" customHeight="false" outlineLevel="0" collapsed="false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</row>
    <row r="39" customFormat="false" ht="15" hidden="false" customHeight="false" outlineLevel="0" collapsed="false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</row>
    <row r="40" customFormat="false" ht="15" hidden="false" customHeight="false" outlineLevel="0" collapsed="false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</row>
    <row r="41" customFormat="false" ht="15" hidden="false" customHeight="false" outlineLevel="0" collapsed="false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</row>
    <row r="42" customFormat="false" ht="15" hidden="false" customHeight="false" outlineLevel="0" collapsed="false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</row>
    <row r="43" customFormat="false" ht="15" hidden="false" customHeight="false" outlineLevel="0" collapsed="false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</row>
    <row r="44" customFormat="false" ht="15" hidden="false" customHeight="false" outlineLevel="0" collapsed="false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</row>
  </sheetData>
  <dataValidations count="3">
    <dataValidation allowBlank="true" errorStyle="stop" operator="between" showDropDown="false" showErrorMessage="false" showInputMessage="false" sqref="B5:B45" type="list">
      <formula1>"Games,Beleza,Livros,Tech,Colecionaveis,Evento,Plataforma,Agencia"</formula1>
      <formula2>0</formula2>
    </dataValidation>
    <dataValidation allowBlank="true" errorStyle="stop" operator="between" showDropDown="false" showErrorMessage="false" showInputMessage="false" sqref="C5:C45" type="list">
      <formula1>"Quente,Morna,Aspiracional"</formula1>
      <formula2>0</formula2>
    </dataValidation>
    <dataValidation allowBlank="true" errorStyle="stop" operator="between" showDropDown="false" showErrorMessage="false" showInputMessage="false" sqref="F5:F45" type="list">
      <formula1>"A fazer,Enviado,Follow-up,Respondeu,Em negociacao,Fechado,Recusado,Arquivado"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D4EDD"/>
    <pageSetUpPr fitToPage="false"/>
  </sheetPr>
  <dimension ref="A1:I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4"/>
    <col collapsed="false" customWidth="true" hidden="false" outlineLevel="0" max="3" min="3" style="0" width="20"/>
    <col collapsed="false" customWidth="true" hidden="false" outlineLevel="0" max="4" min="4" style="0" width="12"/>
    <col collapsed="false" customWidth="true" hidden="false" outlineLevel="0" max="5" min="5" style="0" width="16"/>
    <col collapsed="false" customWidth="true" hidden="false" outlineLevel="0" max="6" min="6" style="0" width="12"/>
    <col collapsed="false" customWidth="true" hidden="false" outlineLevel="0" max="7" min="7" style="0" width="9"/>
    <col collapsed="false" customWidth="true" hidden="false" outlineLevel="0" max="8" min="8" style="0" width="13"/>
    <col collapsed="false" customWidth="true" hidden="false" outlineLevel="0" max="9" min="9" style="0" width="35"/>
  </cols>
  <sheetData>
    <row r="1" customFormat="false" ht="19.7" hidden="false" customHeight="false" outlineLevel="0" collapsed="false">
      <c r="A1" s="1" t="s">
        <v>80</v>
      </c>
    </row>
    <row r="2" customFormat="false" ht="15" hidden="false" customHeight="false" outlineLevel="0" collapsed="false">
      <c r="A2" s="2" t="s">
        <v>81</v>
      </c>
    </row>
    <row r="4" customFormat="false" ht="15" hidden="false" customHeight="false" outlineLevel="0" collapsed="false">
      <c r="A4" s="3" t="s">
        <v>82</v>
      </c>
      <c r="B4" s="3" t="s">
        <v>83</v>
      </c>
      <c r="C4" s="3" t="s">
        <v>84</v>
      </c>
      <c r="D4" s="3" t="s">
        <v>85</v>
      </c>
      <c r="E4" s="3" t="s">
        <v>7</v>
      </c>
      <c r="F4" s="3" t="s">
        <v>86</v>
      </c>
      <c r="G4" s="3" t="s">
        <v>87</v>
      </c>
      <c r="H4" s="3" t="s">
        <v>88</v>
      </c>
      <c r="I4" s="3" t="s">
        <v>89</v>
      </c>
    </row>
    <row r="5" customFormat="false" ht="15" hidden="false" customHeight="false" outlineLevel="0" collapsed="false">
      <c r="A5" s="4" t="s">
        <v>90</v>
      </c>
      <c r="B5" s="4" t="s">
        <v>21</v>
      </c>
      <c r="C5" s="4" t="s">
        <v>91</v>
      </c>
      <c r="D5" s="4" t="s">
        <v>92</v>
      </c>
      <c r="E5" s="4" t="s">
        <v>93</v>
      </c>
      <c r="F5" s="4" t="s">
        <v>94</v>
      </c>
      <c r="G5" s="4" t="s">
        <v>95</v>
      </c>
      <c r="H5" s="4"/>
      <c r="I5" s="4" t="s">
        <v>96</v>
      </c>
    </row>
    <row r="6" customFormat="false" ht="15" hidden="false" customHeight="false" outlineLevel="0" collapsed="false">
      <c r="A6" s="4" t="s">
        <v>97</v>
      </c>
      <c r="B6" s="4" t="s">
        <v>58</v>
      </c>
      <c r="C6" s="4" t="s">
        <v>98</v>
      </c>
      <c r="D6" s="4" t="s">
        <v>92</v>
      </c>
      <c r="E6" s="4" t="s">
        <v>93</v>
      </c>
      <c r="F6" s="4" t="s">
        <v>94</v>
      </c>
      <c r="G6" s="4" t="s">
        <v>95</v>
      </c>
      <c r="H6" s="4"/>
      <c r="I6" s="4" t="s">
        <v>99</v>
      </c>
    </row>
    <row r="7" customFormat="false" ht="15" hidden="false" customHeight="false" outlineLevel="0" collapsed="false">
      <c r="A7" s="4" t="s">
        <v>100</v>
      </c>
      <c r="B7" s="4" t="s">
        <v>101</v>
      </c>
      <c r="C7" s="4" t="s">
        <v>102</v>
      </c>
      <c r="D7" s="4" t="s">
        <v>92</v>
      </c>
      <c r="E7" s="4" t="s">
        <v>93</v>
      </c>
      <c r="F7" s="4" t="s">
        <v>94</v>
      </c>
      <c r="G7" s="4" t="s">
        <v>95</v>
      </c>
      <c r="H7" s="4"/>
      <c r="I7" s="4" t="s">
        <v>103</v>
      </c>
    </row>
    <row r="8" customFormat="false" ht="15" hidden="false" customHeight="false" outlineLevel="0" collapsed="false">
      <c r="A8" s="4" t="s">
        <v>104</v>
      </c>
      <c r="B8" s="4" t="s">
        <v>105</v>
      </c>
      <c r="C8" s="4" t="s">
        <v>106</v>
      </c>
      <c r="D8" s="4" t="s">
        <v>92</v>
      </c>
      <c r="E8" s="4" t="s">
        <v>93</v>
      </c>
      <c r="F8" s="4" t="s">
        <v>107</v>
      </c>
      <c r="G8" s="4" t="s">
        <v>95</v>
      </c>
      <c r="H8" s="4"/>
      <c r="I8" s="4" t="s">
        <v>108</v>
      </c>
    </row>
    <row r="9" customFormat="false" ht="15" hidden="false" customHeight="false" outlineLevel="0" collapsed="false">
      <c r="A9" s="4" t="s">
        <v>109</v>
      </c>
      <c r="B9" s="4" t="s">
        <v>110</v>
      </c>
      <c r="C9" s="4" t="s">
        <v>111</v>
      </c>
      <c r="D9" s="4" t="s">
        <v>92</v>
      </c>
      <c r="E9" s="4" t="s">
        <v>93</v>
      </c>
      <c r="F9" s="4" t="s">
        <v>107</v>
      </c>
      <c r="G9" s="4" t="s">
        <v>112</v>
      </c>
      <c r="H9" s="4"/>
      <c r="I9" s="4" t="s">
        <v>113</v>
      </c>
    </row>
    <row r="10" customFormat="false" ht="15" hidden="false" customHeight="false" outlineLevel="0" collapsed="false">
      <c r="A10" s="4" t="s">
        <v>114</v>
      </c>
      <c r="B10" s="4" t="s">
        <v>115</v>
      </c>
      <c r="C10" s="4" t="s">
        <v>106</v>
      </c>
      <c r="D10" s="4" t="s">
        <v>92</v>
      </c>
      <c r="E10" s="4" t="s">
        <v>93</v>
      </c>
      <c r="F10" s="4" t="s">
        <v>107</v>
      </c>
      <c r="G10" s="4" t="s">
        <v>95</v>
      </c>
      <c r="H10" s="4"/>
      <c r="I10" s="4" t="s">
        <v>116</v>
      </c>
    </row>
    <row r="11" customFormat="false" ht="15" hidden="false" customHeight="false" outlineLevel="0" collapsed="false">
      <c r="A11" s="4" t="s">
        <v>117</v>
      </c>
      <c r="B11" s="4" t="s">
        <v>118</v>
      </c>
      <c r="C11" s="4" t="s">
        <v>91</v>
      </c>
      <c r="D11" s="4" t="s">
        <v>92</v>
      </c>
      <c r="E11" s="4" t="s">
        <v>93</v>
      </c>
      <c r="F11" s="4" t="s">
        <v>107</v>
      </c>
      <c r="G11" s="4" t="s">
        <v>95</v>
      </c>
      <c r="H11" s="4"/>
      <c r="I11" s="4" t="s">
        <v>119</v>
      </c>
    </row>
    <row r="12" customFormat="false" ht="15" hidden="false" customHeight="false" outlineLevel="0" collapsed="false">
      <c r="A12" s="4" t="s">
        <v>120</v>
      </c>
      <c r="B12" s="4" t="s">
        <v>121</v>
      </c>
      <c r="C12" s="4" t="s">
        <v>122</v>
      </c>
      <c r="D12" s="4" t="s">
        <v>92</v>
      </c>
      <c r="E12" s="4" t="s">
        <v>93</v>
      </c>
      <c r="F12" s="4" t="s">
        <v>107</v>
      </c>
      <c r="G12" s="4" t="s">
        <v>95</v>
      </c>
      <c r="H12" s="4"/>
      <c r="I12" s="4" t="s">
        <v>123</v>
      </c>
    </row>
    <row r="13" customFormat="false" ht="15" hidden="false" customHeight="false" outlineLevel="0" collapsed="false">
      <c r="A13" s="4" t="s">
        <v>124</v>
      </c>
      <c r="B13" s="4" t="s">
        <v>121</v>
      </c>
      <c r="C13" s="4" t="s">
        <v>98</v>
      </c>
      <c r="D13" s="4" t="s">
        <v>92</v>
      </c>
      <c r="E13" s="4" t="s">
        <v>93</v>
      </c>
      <c r="F13" s="4" t="s">
        <v>107</v>
      </c>
      <c r="G13" s="4" t="s">
        <v>95</v>
      </c>
      <c r="H13" s="4"/>
      <c r="I13" s="4" t="s">
        <v>125</v>
      </c>
    </row>
    <row r="14" customFormat="false" ht="15" hidden="false" customHeight="false" outlineLevel="0" collapsed="false">
      <c r="A14" s="4" t="s">
        <v>126</v>
      </c>
      <c r="B14" s="4" t="s">
        <v>127</v>
      </c>
      <c r="C14" s="4" t="s">
        <v>102</v>
      </c>
      <c r="D14" s="4" t="s">
        <v>92</v>
      </c>
      <c r="E14" s="4" t="s">
        <v>93</v>
      </c>
      <c r="F14" s="4" t="s">
        <v>94</v>
      </c>
      <c r="G14" s="4" t="s">
        <v>95</v>
      </c>
      <c r="H14" s="4"/>
      <c r="I14" s="4" t="s">
        <v>128</v>
      </c>
    </row>
    <row r="15" customFormat="false" ht="23.85" hidden="false" customHeight="false" outlineLevel="0" collapsed="false">
      <c r="A15" s="4" t="s">
        <v>129</v>
      </c>
      <c r="B15" s="4" t="s">
        <v>21</v>
      </c>
      <c r="C15" s="4" t="s">
        <v>98</v>
      </c>
      <c r="D15" s="4" t="s">
        <v>92</v>
      </c>
      <c r="E15" s="4" t="s">
        <v>82</v>
      </c>
      <c r="F15" s="4" t="s">
        <v>107</v>
      </c>
      <c r="G15" s="4" t="s">
        <v>112</v>
      </c>
      <c r="H15" s="4"/>
      <c r="I15" s="4" t="s">
        <v>130</v>
      </c>
    </row>
    <row r="16" customFormat="false" ht="15" hidden="false" customHeight="false" outlineLevel="0" collapsed="false">
      <c r="A16" s="4" t="s">
        <v>131</v>
      </c>
      <c r="B16" s="4" t="s">
        <v>58</v>
      </c>
      <c r="C16" s="4" t="s">
        <v>98</v>
      </c>
      <c r="D16" s="4" t="s">
        <v>92</v>
      </c>
      <c r="E16" s="4" t="s">
        <v>82</v>
      </c>
      <c r="F16" s="4" t="s">
        <v>107</v>
      </c>
      <c r="G16" s="4" t="s">
        <v>112</v>
      </c>
      <c r="H16" s="4"/>
      <c r="I16" s="4" t="s">
        <v>132</v>
      </c>
    </row>
    <row r="17" customFormat="false" ht="15" hidden="false" customHeight="false" outlineLevel="0" collapsed="false">
      <c r="A17" s="4" t="s">
        <v>133</v>
      </c>
      <c r="B17" s="4" t="s">
        <v>121</v>
      </c>
      <c r="C17" s="4" t="s">
        <v>98</v>
      </c>
      <c r="D17" s="4" t="s">
        <v>134</v>
      </c>
      <c r="E17" s="4" t="s">
        <v>82</v>
      </c>
      <c r="F17" s="4" t="s">
        <v>135</v>
      </c>
      <c r="G17" s="4" t="s">
        <v>112</v>
      </c>
      <c r="H17" s="4"/>
      <c r="I17" s="4" t="s">
        <v>136</v>
      </c>
    </row>
    <row r="18" customFormat="false" ht="15" hidden="false" customHeight="false" outlineLevel="0" collapsed="false">
      <c r="A18" s="4"/>
      <c r="B18" s="4"/>
      <c r="C18" s="4"/>
      <c r="D18" s="4"/>
      <c r="E18" s="4"/>
      <c r="F18" s="4"/>
      <c r="G18" s="4"/>
      <c r="H18" s="4"/>
      <c r="I18" s="4"/>
    </row>
    <row r="19" customFormat="false" ht="15" hidden="false" customHeight="false" outlineLevel="0" collapsed="false">
      <c r="A19" s="4"/>
      <c r="B19" s="4"/>
      <c r="C19" s="4"/>
      <c r="D19" s="4"/>
      <c r="E19" s="4"/>
      <c r="F19" s="4"/>
      <c r="G19" s="4"/>
      <c r="H19" s="4"/>
      <c r="I19" s="4"/>
    </row>
    <row r="20" customFormat="false" ht="15" hidden="false" customHeight="false" outlineLevel="0" collapsed="false">
      <c r="A20" s="4"/>
      <c r="B20" s="4"/>
      <c r="C20" s="4"/>
      <c r="D20" s="4"/>
      <c r="E20" s="4"/>
      <c r="F20" s="4"/>
      <c r="G20" s="4"/>
      <c r="H20" s="4"/>
      <c r="I20" s="4"/>
    </row>
    <row r="21" customFormat="false" ht="15" hidden="false" customHeight="false" outlineLevel="0" collapsed="false">
      <c r="A21" s="4"/>
      <c r="B21" s="4"/>
      <c r="C21" s="4"/>
      <c r="D21" s="4"/>
      <c r="E21" s="4"/>
      <c r="F21" s="4"/>
      <c r="G21" s="4"/>
      <c r="H21" s="4"/>
      <c r="I21" s="4"/>
    </row>
    <row r="22" customFormat="false" ht="15" hidden="false" customHeight="false" outlineLevel="0" collapsed="false">
      <c r="A22" s="4"/>
      <c r="B22" s="4"/>
      <c r="C22" s="4"/>
      <c r="D22" s="4"/>
      <c r="E22" s="4"/>
      <c r="F22" s="4"/>
      <c r="G22" s="4"/>
      <c r="H22" s="4"/>
      <c r="I22" s="4"/>
    </row>
    <row r="23" customFormat="false" ht="15" hidden="false" customHeight="false" outlineLevel="0" collapsed="false">
      <c r="A23" s="4"/>
      <c r="B23" s="4"/>
      <c r="C23" s="4"/>
      <c r="D23" s="4"/>
      <c r="E23" s="4"/>
      <c r="F23" s="4"/>
      <c r="G23" s="4"/>
      <c r="H23" s="4"/>
      <c r="I23" s="4"/>
    </row>
    <row r="24" customFormat="false" ht="15" hidden="false" customHeight="false" outlineLevel="0" collapsed="false">
      <c r="A24" s="4"/>
      <c r="B24" s="4"/>
      <c r="C24" s="4"/>
      <c r="D24" s="4"/>
      <c r="E24" s="4"/>
      <c r="F24" s="4"/>
      <c r="G24" s="4"/>
      <c r="H24" s="4"/>
      <c r="I24" s="4"/>
    </row>
    <row r="25" customFormat="false" ht="15" hidden="false" customHeight="false" outlineLevel="0" collapsed="false">
      <c r="A25" s="4"/>
      <c r="B25" s="4"/>
      <c r="C25" s="4"/>
      <c r="D25" s="4"/>
      <c r="E25" s="4"/>
      <c r="F25" s="4"/>
      <c r="G25" s="4"/>
      <c r="H25" s="4"/>
      <c r="I25" s="4"/>
    </row>
    <row r="26" customFormat="false" ht="15" hidden="false" customHeight="false" outlineLevel="0" collapsed="false">
      <c r="A26" s="4"/>
      <c r="B26" s="4"/>
      <c r="C26" s="4"/>
      <c r="D26" s="4"/>
      <c r="E26" s="4"/>
      <c r="F26" s="4"/>
      <c r="G26" s="4"/>
      <c r="H26" s="4"/>
      <c r="I26" s="4"/>
    </row>
    <row r="27" customFormat="false" ht="15" hidden="false" customHeight="false" outlineLevel="0" collapsed="false">
      <c r="A27" s="4"/>
      <c r="B27" s="4"/>
      <c r="C27" s="4"/>
      <c r="D27" s="4"/>
      <c r="E27" s="4"/>
      <c r="F27" s="4"/>
      <c r="G27" s="4"/>
      <c r="H27" s="4"/>
      <c r="I27" s="4"/>
    </row>
    <row r="28" customFormat="false" ht="15" hidden="false" customHeight="false" outlineLevel="0" collapsed="false">
      <c r="A28" s="4"/>
      <c r="B28" s="4"/>
      <c r="C28" s="4"/>
      <c r="D28" s="4"/>
      <c r="E28" s="4"/>
      <c r="F28" s="4"/>
      <c r="G28" s="4"/>
      <c r="H28" s="4"/>
      <c r="I28" s="4"/>
    </row>
    <row r="29" customFormat="false" ht="15" hidden="false" customHeight="false" outlineLevel="0" collapsed="false">
      <c r="A29" s="4"/>
      <c r="B29" s="4"/>
      <c r="C29" s="4"/>
      <c r="D29" s="4"/>
      <c r="E29" s="4"/>
      <c r="F29" s="4"/>
      <c r="G29" s="4"/>
      <c r="H29" s="4"/>
      <c r="I29" s="4"/>
    </row>
    <row r="30" customFormat="false" ht="15" hidden="false" customHeight="false" outlineLevel="0" collapsed="false">
      <c r="A30" s="4"/>
      <c r="B30" s="4"/>
      <c r="C30" s="4"/>
      <c r="D30" s="4"/>
      <c r="E30" s="4"/>
      <c r="F30" s="4"/>
      <c r="G30" s="4"/>
      <c r="H30" s="4"/>
      <c r="I30" s="4"/>
    </row>
    <row r="31" customFormat="false" ht="15" hidden="false" customHeight="false" outlineLevel="0" collapsed="false">
      <c r="A31" s="4"/>
      <c r="B31" s="4"/>
      <c r="C31" s="4"/>
      <c r="D31" s="4"/>
      <c r="E31" s="4"/>
      <c r="F31" s="4"/>
      <c r="G31" s="4"/>
      <c r="H31" s="4"/>
      <c r="I31" s="4"/>
    </row>
    <row r="32" customFormat="false" ht="15" hidden="false" customHeight="false" outlineLevel="0" collapsed="false">
      <c r="A32" s="4"/>
      <c r="B32" s="4"/>
      <c r="C32" s="4"/>
      <c r="D32" s="4"/>
      <c r="E32" s="4"/>
      <c r="F32" s="4"/>
      <c r="G32" s="4"/>
      <c r="H32" s="4"/>
      <c r="I32" s="4"/>
    </row>
    <row r="33" customFormat="false" ht="15" hidden="false" customHeight="false" outlineLevel="0" collapsed="false">
      <c r="A33" s="4"/>
      <c r="B33" s="4"/>
      <c r="C33" s="4"/>
      <c r="D33" s="4"/>
      <c r="E33" s="4"/>
      <c r="F33" s="4"/>
      <c r="G33" s="4"/>
      <c r="H33" s="4"/>
      <c r="I33" s="4"/>
    </row>
    <row r="34" customFormat="false" ht="15" hidden="false" customHeight="false" outlineLevel="0" collapsed="false">
      <c r="A34" s="4"/>
      <c r="B34" s="4"/>
      <c r="C34" s="4"/>
      <c r="D34" s="4"/>
      <c r="E34" s="4"/>
      <c r="F34" s="4"/>
      <c r="G34" s="4"/>
      <c r="H34" s="4"/>
      <c r="I34" s="4"/>
    </row>
    <row r="35" customFormat="false" ht="15" hidden="false" customHeight="false" outlineLevel="0" collapsed="false">
      <c r="A35" s="4"/>
      <c r="B35" s="4"/>
      <c r="C35" s="4"/>
      <c r="D35" s="4"/>
      <c r="E35" s="4"/>
      <c r="F35" s="4"/>
      <c r="G35" s="4"/>
      <c r="H35" s="4"/>
      <c r="I35" s="4"/>
    </row>
    <row r="36" customFormat="false" ht="15" hidden="false" customHeight="false" outlineLevel="0" collapsed="false">
      <c r="A36" s="4"/>
      <c r="B36" s="4"/>
      <c r="C36" s="4"/>
      <c r="D36" s="4"/>
      <c r="E36" s="4"/>
      <c r="F36" s="4"/>
      <c r="G36" s="4"/>
      <c r="H36" s="4"/>
      <c r="I36" s="4"/>
    </row>
    <row r="37" customFormat="false" ht="15" hidden="false" customHeight="false" outlineLevel="0" collapsed="false">
      <c r="A37" s="4"/>
      <c r="B37" s="4"/>
      <c r="C37" s="4"/>
      <c r="D37" s="4"/>
      <c r="E37" s="4"/>
      <c r="F37" s="4"/>
      <c r="G37" s="4"/>
      <c r="H37" s="4"/>
      <c r="I37" s="4"/>
    </row>
    <row r="38" customFormat="false" ht="15" hidden="false" customHeight="false" outlineLevel="0" collapsed="false">
      <c r="A38" s="4"/>
      <c r="B38" s="4"/>
      <c r="C38" s="4"/>
      <c r="D38" s="4"/>
      <c r="E38" s="4"/>
      <c r="F38" s="4"/>
      <c r="G38" s="4"/>
      <c r="H38" s="4"/>
      <c r="I38" s="4"/>
    </row>
    <row r="39" customFormat="false" ht="15" hidden="false" customHeight="false" outlineLevel="0" collapsed="false">
      <c r="A39" s="4"/>
      <c r="B39" s="4"/>
      <c r="C39" s="4"/>
      <c r="D39" s="4"/>
      <c r="E39" s="4"/>
      <c r="F39" s="4"/>
      <c r="G39" s="4"/>
      <c r="H39" s="4"/>
      <c r="I39" s="4"/>
    </row>
    <row r="40" customFormat="false" ht="15" hidden="false" customHeight="false" outlineLevel="0" collapsed="false">
      <c r="A40" s="4"/>
      <c r="B40" s="4"/>
      <c r="C40" s="4"/>
      <c r="D40" s="4"/>
      <c r="E40" s="4"/>
      <c r="F40" s="4"/>
      <c r="G40" s="4"/>
      <c r="H40" s="4"/>
      <c r="I40" s="4"/>
    </row>
    <row r="41" customFormat="false" ht="15" hidden="false" customHeight="false" outlineLevel="0" collapsed="false">
      <c r="A41" s="4"/>
      <c r="B41" s="4"/>
      <c r="C41" s="4"/>
      <c r="D41" s="4"/>
      <c r="E41" s="4"/>
      <c r="F41" s="4"/>
      <c r="G41" s="4"/>
      <c r="H41" s="4"/>
      <c r="I41" s="4"/>
    </row>
    <row r="42" customFormat="false" ht="15" hidden="false" customHeight="false" outlineLevel="0" collapsed="false">
      <c r="A42" s="4"/>
      <c r="B42" s="4"/>
      <c r="C42" s="4"/>
      <c r="D42" s="4"/>
      <c r="E42" s="4"/>
      <c r="F42" s="4"/>
      <c r="G42" s="4"/>
      <c r="H42" s="4"/>
      <c r="I42" s="4"/>
    </row>
    <row r="43" customFormat="false" ht="15" hidden="false" customHeight="false" outlineLevel="0" collapsed="false">
      <c r="A43" s="4"/>
      <c r="B43" s="4"/>
      <c r="C43" s="4"/>
      <c r="D43" s="4"/>
      <c r="E43" s="4"/>
      <c r="F43" s="4"/>
      <c r="G43" s="4"/>
      <c r="H43" s="4"/>
      <c r="I43" s="4"/>
    </row>
    <row r="44" customFormat="false" ht="15" hidden="false" customHeight="false" outlineLevel="0" collapsed="false">
      <c r="A44" s="4"/>
      <c r="B44" s="4"/>
      <c r="C44" s="4"/>
      <c r="D44" s="4"/>
      <c r="E44" s="4"/>
      <c r="F44" s="4"/>
      <c r="G44" s="4"/>
      <c r="H44" s="4"/>
      <c r="I44" s="4"/>
    </row>
    <row r="45" customFormat="false" ht="15" hidden="false" customHeight="false" outlineLevel="0" collapsed="false">
      <c r="A45" s="4"/>
      <c r="B45" s="4"/>
      <c r="C45" s="4"/>
      <c r="D45" s="4"/>
      <c r="E45" s="4"/>
      <c r="F45" s="4"/>
      <c r="G45" s="4"/>
      <c r="H45" s="4"/>
      <c r="I45" s="4"/>
    </row>
    <row r="46" customFormat="false" ht="15" hidden="false" customHeight="false" outlineLevel="0" collapsed="false">
      <c r="A46" s="4"/>
      <c r="B46" s="4"/>
      <c r="C46" s="4"/>
      <c r="D46" s="4"/>
      <c r="E46" s="4"/>
      <c r="F46" s="4"/>
      <c r="G46" s="4"/>
      <c r="H46" s="4"/>
      <c r="I46" s="4"/>
    </row>
    <row r="47" customFormat="false" ht="15" hidden="false" customHeight="false" outlineLevel="0" collapsed="false">
      <c r="A47" s="4"/>
      <c r="B47" s="4"/>
      <c r="C47" s="4"/>
      <c r="D47" s="4"/>
      <c r="E47" s="4"/>
      <c r="F47" s="4"/>
      <c r="G47" s="4"/>
      <c r="H47" s="4"/>
      <c r="I47" s="4"/>
    </row>
  </sheetData>
  <dataValidations count="6">
    <dataValidation allowBlank="true" errorStyle="stop" operator="between" showDropDown="false" showErrorMessage="false" showInputMessage="false" sqref="B5:B48" type="list">
      <formula1>"Games,Nintendo,Livros,Manhwa,Make,Anime,Opiniao,Colecionavel,Lifestyle,Crossover"</formula1>
      <formula2>0</formula2>
    </dataValidation>
    <dataValidation allowBlank="true" errorStyle="stop" operator="between" showDropDown="false" showErrorMessage="false" showInputMessage="false" sqref="C5:C48" type="list">
      <formula1>"Arwen Reage,A Arwen Indica,Arwen se Arruma,Arwen Joga,Surto Geek,Arwen Testa,Arwen no Evento,Arwen Tem Opiniao"</formula1>
      <formula2>0</formula2>
    </dataValidation>
    <dataValidation allowBlank="true" errorStyle="stop" operator="between" showDropDown="false" showErrorMessage="false" showInputMessage="false" sqref="D5:D48" type="list">
      <formula1>"Reel,Carrossel,Stories,Video longo,UGC"</formula1>
      <formula2>0</formula2>
    </dataValidation>
    <dataValidation allowBlank="true" errorStyle="stop" operator="between" showDropDown="false" showErrorMessage="false" showInputMessage="false" sqref="E5:E48" type="list">
      <formula1>"Ideia,Roteiro pronto,Gravado,Editado,Postado"</formula1>
      <formula2>0</formula2>
    </dataValidation>
    <dataValidation allowBlank="true" errorStyle="stop" operator="between" showDropDown="false" showErrorMessage="false" showInputMessage="false" sqref="F5:F48" type="list">
      <formula1>"Alta,Media,Baixa"</formula1>
      <formula2>0</formula2>
    </dataValidation>
    <dataValidation allowBlank="true" errorStyle="stop" operator="between" showDropDown="false" showErrorMessage="false" showInputMessage="false" sqref="G5:G48" type="list">
      <formula1>"Sim,Nao"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0BBE4"/>
    <pageSetUpPr fitToPage="false"/>
  </sheetPr>
  <dimension ref="A1:H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8"/>
    <col collapsed="false" customWidth="true" hidden="false" outlineLevel="0" max="3" min="3" style="0" width="42"/>
    <col collapsed="false" customWidth="true" hidden="false" outlineLevel="0" max="4" min="4" style="0" width="13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8" min="8" style="0" width="35"/>
  </cols>
  <sheetData>
    <row r="1" customFormat="false" ht="19.7" hidden="false" customHeight="false" outlineLevel="0" collapsed="false">
      <c r="A1" s="1" t="s">
        <v>137</v>
      </c>
    </row>
    <row r="2" customFormat="false" ht="15" hidden="false" customHeight="false" outlineLevel="0" collapsed="false">
      <c r="A2" s="2" t="s">
        <v>138</v>
      </c>
    </row>
    <row r="4" customFormat="false" ht="15" hidden="false" customHeight="false" outlineLevel="0" collapsed="false">
      <c r="A4" s="3" t="s">
        <v>139</v>
      </c>
      <c r="B4" s="3" t="s">
        <v>140</v>
      </c>
      <c r="C4" s="3" t="s">
        <v>141</v>
      </c>
      <c r="D4" s="3" t="s">
        <v>36</v>
      </c>
      <c r="E4" s="3" t="s">
        <v>85</v>
      </c>
      <c r="F4" s="3" t="s">
        <v>83</v>
      </c>
      <c r="G4" s="3" t="s">
        <v>7</v>
      </c>
      <c r="H4" s="3" t="s">
        <v>142</v>
      </c>
    </row>
    <row r="5" customFormat="false" ht="23.85" hidden="false" customHeight="false" outlineLevel="0" collapsed="false">
      <c r="A5" s="4" t="s">
        <v>143</v>
      </c>
      <c r="B5" s="4" t="s">
        <v>144</v>
      </c>
      <c r="C5" s="4" t="s">
        <v>145</v>
      </c>
      <c r="D5" s="4" t="s">
        <v>146</v>
      </c>
      <c r="E5" s="4" t="s">
        <v>92</v>
      </c>
      <c r="F5" s="4" t="s">
        <v>115</v>
      </c>
      <c r="G5" s="4" t="s">
        <v>147</v>
      </c>
      <c r="H5" s="4" t="s">
        <v>148</v>
      </c>
    </row>
    <row r="6" customFormat="false" ht="15" hidden="false" customHeight="false" outlineLevel="0" collapsed="false">
      <c r="A6" s="4" t="s">
        <v>149</v>
      </c>
      <c r="B6" s="4" t="s">
        <v>150</v>
      </c>
      <c r="C6" s="4" t="s">
        <v>151</v>
      </c>
      <c r="D6" s="4" t="s">
        <v>146</v>
      </c>
      <c r="E6" s="4" t="s">
        <v>92</v>
      </c>
      <c r="F6" s="4" t="s">
        <v>21</v>
      </c>
      <c r="G6" s="4" t="s">
        <v>147</v>
      </c>
      <c r="H6" s="4" t="s">
        <v>152</v>
      </c>
    </row>
    <row r="7" customFormat="false" ht="15" hidden="false" customHeight="false" outlineLevel="0" collapsed="false">
      <c r="A7" s="4" t="s">
        <v>153</v>
      </c>
      <c r="B7" s="4" t="s">
        <v>154</v>
      </c>
      <c r="C7" s="4" t="s">
        <v>155</v>
      </c>
      <c r="D7" s="4" t="s">
        <v>146</v>
      </c>
      <c r="E7" s="4" t="s">
        <v>134</v>
      </c>
      <c r="F7" s="4" t="s">
        <v>58</v>
      </c>
      <c r="G7" s="4" t="s">
        <v>147</v>
      </c>
      <c r="H7" s="4"/>
    </row>
    <row r="8" customFormat="false" ht="15" hidden="false" customHeight="false" outlineLevel="0" collapsed="false">
      <c r="A8" s="4" t="s">
        <v>156</v>
      </c>
      <c r="B8" s="4" t="s">
        <v>157</v>
      </c>
      <c r="C8" s="4" t="s">
        <v>158</v>
      </c>
      <c r="D8" s="4" t="s">
        <v>146</v>
      </c>
      <c r="E8" s="4" t="s">
        <v>92</v>
      </c>
      <c r="F8" s="4" t="s">
        <v>101</v>
      </c>
      <c r="G8" s="4" t="s">
        <v>147</v>
      </c>
      <c r="H8" s="4"/>
    </row>
    <row r="9" customFormat="false" ht="15" hidden="false" customHeight="false" outlineLevel="0" collapsed="false">
      <c r="A9" s="4" t="s">
        <v>159</v>
      </c>
      <c r="B9" s="4" t="s">
        <v>144</v>
      </c>
      <c r="C9" s="4" t="s">
        <v>160</v>
      </c>
      <c r="D9" s="4" t="s">
        <v>146</v>
      </c>
      <c r="E9" s="4" t="s">
        <v>92</v>
      </c>
      <c r="F9" s="4" t="s">
        <v>110</v>
      </c>
      <c r="G9" s="4" t="s">
        <v>147</v>
      </c>
      <c r="H9" s="4" t="s">
        <v>161</v>
      </c>
    </row>
    <row r="10" customFormat="false" ht="15" hidden="false" customHeight="false" outlineLevel="0" collapsed="false">
      <c r="A10" s="4" t="s">
        <v>162</v>
      </c>
      <c r="B10" s="4" t="s">
        <v>144</v>
      </c>
      <c r="C10" s="4" t="s">
        <v>163</v>
      </c>
      <c r="D10" s="4" t="s">
        <v>146</v>
      </c>
      <c r="E10" s="4" t="s">
        <v>92</v>
      </c>
      <c r="F10" s="4" t="s">
        <v>164</v>
      </c>
      <c r="G10" s="4" t="s">
        <v>147</v>
      </c>
      <c r="H10" s="4"/>
    </row>
    <row r="11" customFormat="false" ht="15" hidden="false" customHeight="false" outlineLevel="0" collapsed="false">
      <c r="A11" s="4" t="s">
        <v>165</v>
      </c>
      <c r="B11" s="4" t="s">
        <v>150</v>
      </c>
      <c r="C11" s="4" t="s">
        <v>166</v>
      </c>
      <c r="D11" s="4" t="s">
        <v>146</v>
      </c>
      <c r="E11" s="4" t="s">
        <v>92</v>
      </c>
      <c r="F11" s="4" t="s">
        <v>121</v>
      </c>
      <c r="G11" s="4" t="s">
        <v>147</v>
      </c>
      <c r="H11" s="4" t="s">
        <v>123</v>
      </c>
    </row>
    <row r="12" customFormat="false" ht="15" hidden="false" customHeight="false" outlineLevel="0" collapsed="false">
      <c r="A12" s="4" t="s">
        <v>167</v>
      </c>
      <c r="B12" s="4" t="s">
        <v>154</v>
      </c>
      <c r="C12" s="4" t="s">
        <v>168</v>
      </c>
      <c r="D12" s="4" t="s">
        <v>146</v>
      </c>
      <c r="E12" s="4" t="s">
        <v>134</v>
      </c>
      <c r="F12" s="4" t="s">
        <v>110</v>
      </c>
      <c r="G12" s="4" t="s">
        <v>147</v>
      </c>
      <c r="H12" s="4"/>
    </row>
    <row r="13" customFormat="false" ht="15" hidden="false" customHeight="false" outlineLevel="0" collapsed="false">
      <c r="A13" s="4" t="s">
        <v>169</v>
      </c>
      <c r="B13" s="4" t="s">
        <v>157</v>
      </c>
      <c r="C13" s="4" t="s">
        <v>170</v>
      </c>
      <c r="D13" s="4" t="s">
        <v>146</v>
      </c>
      <c r="E13" s="4" t="s">
        <v>92</v>
      </c>
      <c r="F13" s="4" t="s">
        <v>118</v>
      </c>
      <c r="G13" s="4" t="s">
        <v>147</v>
      </c>
      <c r="H13" s="4"/>
    </row>
    <row r="14" customFormat="false" ht="15" hidden="false" customHeight="false" outlineLevel="0" collapsed="false">
      <c r="A14" s="4" t="s">
        <v>171</v>
      </c>
      <c r="B14" s="4" t="s">
        <v>144</v>
      </c>
      <c r="C14" s="4" t="s">
        <v>172</v>
      </c>
      <c r="D14" s="4" t="s">
        <v>146</v>
      </c>
      <c r="E14" s="4" t="s">
        <v>92</v>
      </c>
      <c r="F14" s="4" t="s">
        <v>101</v>
      </c>
      <c r="G14" s="4" t="s">
        <v>147</v>
      </c>
      <c r="H14" s="4" t="s">
        <v>103</v>
      </c>
    </row>
    <row r="15" customFormat="false" ht="15" hidden="false" customHeight="false" outlineLevel="0" collapsed="false">
      <c r="A15" s="4" t="s">
        <v>173</v>
      </c>
      <c r="B15" s="4" t="s">
        <v>144</v>
      </c>
      <c r="C15" s="4" t="s">
        <v>174</v>
      </c>
      <c r="D15" s="4" t="s">
        <v>146</v>
      </c>
      <c r="E15" s="4" t="s">
        <v>92</v>
      </c>
      <c r="F15" s="4" t="s">
        <v>58</v>
      </c>
      <c r="G15" s="4" t="s">
        <v>147</v>
      </c>
      <c r="H15" s="4" t="s">
        <v>99</v>
      </c>
    </row>
    <row r="16" customFormat="false" ht="15" hidden="false" customHeight="false" outlineLevel="0" collapsed="false">
      <c r="A16" s="4"/>
      <c r="B16" s="4"/>
      <c r="C16" s="4"/>
      <c r="D16" s="4"/>
      <c r="E16" s="4"/>
      <c r="F16" s="4"/>
      <c r="G16" s="4"/>
      <c r="H16" s="4"/>
    </row>
    <row r="17" customFormat="false" ht="15" hidden="false" customHeight="false" outlineLevel="0" collapsed="false">
      <c r="A17" s="4"/>
      <c r="B17" s="4"/>
      <c r="C17" s="4"/>
      <c r="D17" s="4"/>
      <c r="E17" s="4"/>
      <c r="F17" s="4"/>
      <c r="G17" s="4"/>
      <c r="H17" s="4"/>
    </row>
    <row r="18" customFormat="false" ht="15" hidden="false" customHeight="false" outlineLevel="0" collapsed="false">
      <c r="A18" s="4"/>
      <c r="B18" s="4"/>
      <c r="C18" s="4"/>
      <c r="D18" s="4"/>
      <c r="E18" s="4"/>
      <c r="F18" s="4"/>
      <c r="G18" s="4"/>
      <c r="H18" s="4"/>
    </row>
    <row r="19" customFormat="false" ht="15" hidden="false" customHeight="false" outlineLevel="0" collapsed="false">
      <c r="A19" s="4"/>
      <c r="B19" s="4"/>
      <c r="C19" s="4"/>
      <c r="D19" s="4"/>
      <c r="E19" s="4"/>
      <c r="F19" s="4"/>
      <c r="G19" s="4"/>
      <c r="H19" s="4"/>
    </row>
    <row r="20" customFormat="false" ht="15" hidden="false" customHeight="false" outlineLevel="0" collapsed="false">
      <c r="A20" s="4"/>
      <c r="B20" s="4"/>
      <c r="C20" s="4"/>
      <c r="D20" s="4"/>
      <c r="E20" s="4"/>
      <c r="F20" s="4"/>
      <c r="G20" s="4"/>
      <c r="H20" s="4"/>
    </row>
    <row r="21" customFormat="false" ht="15" hidden="false" customHeight="false" outlineLevel="0" collapsed="false">
      <c r="A21" s="4"/>
      <c r="B21" s="4"/>
      <c r="C21" s="4"/>
      <c r="D21" s="4"/>
      <c r="E21" s="4"/>
      <c r="F21" s="4"/>
      <c r="G21" s="4"/>
      <c r="H21" s="4"/>
    </row>
    <row r="22" customFormat="false" ht="15" hidden="false" customHeight="false" outlineLevel="0" collapsed="false">
      <c r="A22" s="4"/>
      <c r="B22" s="4"/>
      <c r="C22" s="4"/>
      <c r="D22" s="4"/>
      <c r="E22" s="4"/>
      <c r="F22" s="4"/>
      <c r="G22" s="4"/>
      <c r="H22" s="4"/>
    </row>
    <row r="23" customFormat="false" ht="15" hidden="false" customHeight="false" outlineLevel="0" collapsed="false">
      <c r="A23" s="4"/>
      <c r="B23" s="4"/>
      <c r="C23" s="4"/>
      <c r="D23" s="4"/>
      <c r="E23" s="4"/>
      <c r="F23" s="4"/>
      <c r="G23" s="4"/>
      <c r="H23" s="4"/>
    </row>
    <row r="24" customFormat="false" ht="15" hidden="false" customHeight="false" outlineLevel="0" collapsed="false">
      <c r="A24" s="4"/>
      <c r="B24" s="4"/>
      <c r="C24" s="4"/>
      <c r="D24" s="4"/>
      <c r="E24" s="4"/>
      <c r="F24" s="4"/>
      <c r="G24" s="4"/>
      <c r="H24" s="4"/>
    </row>
    <row r="25" customFormat="false" ht="15" hidden="false" customHeight="false" outlineLevel="0" collapsed="false">
      <c r="A25" s="4"/>
      <c r="B25" s="4"/>
      <c r="C25" s="4"/>
      <c r="D25" s="4"/>
      <c r="E25" s="4"/>
      <c r="F25" s="4"/>
      <c r="G25" s="4"/>
      <c r="H25" s="4"/>
    </row>
    <row r="26" customFormat="false" ht="15" hidden="false" customHeight="false" outlineLevel="0" collapsed="false">
      <c r="A26" s="4"/>
      <c r="B26" s="4"/>
      <c r="C26" s="4"/>
      <c r="D26" s="4"/>
      <c r="E26" s="4"/>
      <c r="F26" s="4"/>
      <c r="G26" s="4"/>
      <c r="H26" s="4"/>
    </row>
    <row r="27" customFormat="false" ht="15" hidden="false" customHeight="false" outlineLevel="0" collapsed="false">
      <c r="A27" s="4"/>
      <c r="B27" s="4"/>
      <c r="C27" s="4"/>
      <c r="D27" s="4"/>
      <c r="E27" s="4"/>
      <c r="F27" s="4"/>
      <c r="G27" s="4"/>
      <c r="H27" s="4"/>
    </row>
    <row r="28" customFormat="false" ht="15" hidden="false" customHeight="false" outlineLevel="0" collapsed="false">
      <c r="A28" s="4"/>
      <c r="B28" s="4"/>
      <c r="C28" s="4"/>
      <c r="D28" s="4"/>
      <c r="E28" s="4"/>
      <c r="F28" s="4"/>
      <c r="G28" s="4"/>
      <c r="H28" s="4"/>
    </row>
    <row r="29" customFormat="false" ht="15" hidden="false" customHeight="false" outlineLevel="0" collapsed="false">
      <c r="A29" s="4"/>
      <c r="B29" s="4"/>
      <c r="C29" s="4"/>
      <c r="D29" s="4"/>
      <c r="E29" s="4"/>
      <c r="F29" s="4"/>
      <c r="G29" s="4"/>
      <c r="H29" s="4"/>
    </row>
    <row r="30" customFormat="false" ht="15" hidden="false" customHeight="false" outlineLevel="0" collapsed="false">
      <c r="A30" s="4"/>
      <c r="B30" s="4"/>
      <c r="C30" s="4"/>
      <c r="D30" s="4"/>
      <c r="E30" s="4"/>
      <c r="F30" s="4"/>
      <c r="G30" s="4"/>
      <c r="H30" s="4"/>
    </row>
    <row r="31" customFormat="false" ht="15" hidden="false" customHeight="false" outlineLevel="0" collapsed="false">
      <c r="A31" s="4"/>
      <c r="B31" s="4"/>
      <c r="C31" s="4"/>
      <c r="D31" s="4"/>
      <c r="E31" s="4"/>
      <c r="F31" s="4"/>
      <c r="G31" s="4"/>
      <c r="H31" s="4"/>
    </row>
    <row r="32" customFormat="false" ht="15" hidden="false" customHeight="false" outlineLevel="0" collapsed="false">
      <c r="A32" s="4"/>
      <c r="B32" s="4"/>
      <c r="C32" s="4"/>
      <c r="D32" s="4"/>
      <c r="E32" s="4"/>
      <c r="F32" s="4"/>
      <c r="G32" s="4"/>
      <c r="H32" s="4"/>
    </row>
    <row r="33" customFormat="false" ht="15" hidden="false" customHeight="false" outlineLevel="0" collapsed="false">
      <c r="A33" s="4"/>
      <c r="B33" s="4"/>
      <c r="C33" s="4"/>
      <c r="D33" s="4"/>
      <c r="E33" s="4"/>
      <c r="F33" s="4"/>
      <c r="G33" s="4"/>
      <c r="H33" s="4"/>
    </row>
    <row r="34" customFormat="false" ht="15" hidden="false" customHeight="false" outlineLevel="0" collapsed="false">
      <c r="A34" s="4"/>
      <c r="B34" s="4"/>
      <c r="C34" s="4"/>
      <c r="D34" s="4"/>
      <c r="E34" s="4"/>
      <c r="F34" s="4"/>
      <c r="G34" s="4"/>
      <c r="H34" s="4"/>
    </row>
    <row r="35" customFormat="false" ht="15" hidden="false" customHeight="false" outlineLevel="0" collapsed="false">
      <c r="A35" s="4"/>
      <c r="B35" s="4"/>
      <c r="C35" s="4"/>
      <c r="D35" s="4"/>
      <c r="E35" s="4"/>
      <c r="F35" s="4"/>
      <c r="G35" s="4"/>
      <c r="H35" s="4"/>
    </row>
    <row r="36" customFormat="false" ht="15" hidden="false" customHeight="false" outlineLevel="0" collapsed="false">
      <c r="A36" s="4"/>
      <c r="B36" s="4"/>
      <c r="C36" s="4"/>
      <c r="D36" s="4"/>
      <c r="E36" s="4"/>
      <c r="F36" s="4"/>
      <c r="G36" s="4"/>
      <c r="H36" s="4"/>
    </row>
    <row r="37" customFormat="false" ht="15" hidden="false" customHeight="false" outlineLevel="0" collapsed="false">
      <c r="A37" s="4"/>
      <c r="B37" s="4"/>
      <c r="C37" s="4"/>
      <c r="D37" s="4"/>
      <c r="E37" s="4"/>
      <c r="F37" s="4"/>
      <c r="G37" s="4"/>
      <c r="H37" s="4"/>
    </row>
    <row r="38" customFormat="false" ht="15" hidden="false" customHeight="false" outlineLevel="0" collapsed="false">
      <c r="A38" s="4"/>
      <c r="B38" s="4"/>
      <c r="C38" s="4"/>
      <c r="D38" s="4"/>
      <c r="E38" s="4"/>
      <c r="F38" s="4"/>
      <c r="G38" s="4"/>
      <c r="H38" s="4"/>
    </row>
    <row r="39" customFormat="false" ht="15" hidden="false" customHeight="false" outlineLevel="0" collapsed="false">
      <c r="A39" s="4"/>
      <c r="B39" s="4"/>
      <c r="C39" s="4"/>
      <c r="D39" s="4"/>
      <c r="E39" s="4"/>
      <c r="F39" s="4"/>
      <c r="G39" s="4"/>
      <c r="H39" s="4"/>
    </row>
    <row r="40" customFormat="false" ht="15" hidden="false" customHeight="false" outlineLevel="0" collapsed="false">
      <c r="A40" s="4"/>
      <c r="B40" s="4"/>
      <c r="C40" s="4"/>
      <c r="D40" s="4"/>
      <c r="E40" s="4"/>
      <c r="F40" s="4"/>
      <c r="G40" s="4"/>
      <c r="H40" s="4"/>
    </row>
    <row r="41" customFormat="false" ht="15" hidden="false" customHeight="false" outlineLevel="0" collapsed="false">
      <c r="A41" s="4"/>
      <c r="B41" s="4"/>
      <c r="C41" s="4"/>
      <c r="D41" s="4"/>
      <c r="E41" s="4"/>
      <c r="F41" s="4"/>
      <c r="G41" s="4"/>
      <c r="H41" s="4"/>
    </row>
    <row r="42" customFormat="false" ht="15" hidden="false" customHeight="false" outlineLevel="0" collapsed="false">
      <c r="A42" s="4"/>
      <c r="B42" s="4"/>
      <c r="C42" s="4"/>
      <c r="D42" s="4"/>
      <c r="E42" s="4"/>
      <c r="F42" s="4"/>
      <c r="G42" s="4"/>
      <c r="H42" s="4"/>
    </row>
    <row r="43" customFormat="false" ht="15" hidden="false" customHeight="false" outlineLevel="0" collapsed="false">
      <c r="A43" s="4"/>
      <c r="B43" s="4"/>
      <c r="C43" s="4"/>
      <c r="D43" s="4"/>
      <c r="E43" s="4"/>
      <c r="F43" s="4"/>
      <c r="G43" s="4"/>
      <c r="H43" s="4"/>
    </row>
    <row r="44" customFormat="false" ht="15" hidden="false" customHeight="false" outlineLevel="0" collapsed="false">
      <c r="A44" s="4"/>
      <c r="B44" s="4"/>
      <c r="C44" s="4"/>
      <c r="D44" s="4"/>
      <c r="E44" s="4"/>
      <c r="F44" s="4"/>
      <c r="G44" s="4"/>
      <c r="H44" s="4"/>
    </row>
    <row r="45" customFormat="false" ht="15" hidden="false" customHeight="false" outlineLevel="0" collapsed="false">
      <c r="A45" s="4"/>
      <c r="B45" s="4"/>
      <c r="C45" s="4"/>
      <c r="D45" s="4"/>
      <c r="E45" s="4"/>
      <c r="F45" s="4"/>
      <c r="G45" s="4"/>
      <c r="H45" s="4"/>
    </row>
  </sheetData>
  <dataValidations count="3">
    <dataValidation allowBlank="true" errorStyle="stop" operator="between" showDropDown="false" showErrorMessage="false" showInputMessage="false" sqref="D5:D46" type="list">
      <formula1>"Instagram,TikTok,YouTube"</formula1>
      <formula2>0</formula2>
    </dataValidation>
    <dataValidation allowBlank="true" errorStyle="stop" operator="between" showDropDown="false" showErrorMessage="false" showInputMessage="false" sqref="G5:G46" type="list">
      <formula1>"Planejado,Produzindo,Agendado,Publicado"</formula1>
      <formula2>0</formula2>
    </dataValidation>
    <dataValidation allowBlank="true" errorStyle="stop" operator="between" showDropDown="false" showErrorMessage="false" showInputMessage="false" sqref="E5:E46" type="list">
      <formula1>"Reel,Carrossel,Stories,Short,Video"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6A34A"/>
    <pageSetUpPr fitToPage="false"/>
  </sheetPr>
  <dimension ref="A1:M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6"/>
    <col collapsed="false" customWidth="true" hidden="false" outlineLevel="0" max="3" min="3" style="0" width="13"/>
    <col collapsed="false" customWidth="true" hidden="false" outlineLevel="0" max="4" min="4" style="0" width="14"/>
    <col collapsed="false" customWidth="true" hidden="false" outlineLevel="0" max="6" min="5" style="0" width="12"/>
    <col collapsed="false" customWidth="true" hidden="false" outlineLevel="0" max="7" min="7" style="0" width="14"/>
    <col collapsed="false" customWidth="true" hidden="false" outlineLevel="0" max="8" min="8" style="0" width="15"/>
    <col collapsed="false" customWidth="true" hidden="false" outlineLevel="0" max="10" min="9" style="0" width="11"/>
    <col collapsed="false" customWidth="true" hidden="false" outlineLevel="0" max="11" min="11" style="0" width="12"/>
    <col collapsed="false" customWidth="true" hidden="false" outlineLevel="0" max="12" min="12" style="0" width="22"/>
    <col collapsed="false" customWidth="true" hidden="false" outlineLevel="0" max="13" min="13" style="0" width="26"/>
  </cols>
  <sheetData>
    <row r="1" customFormat="false" ht="19.7" hidden="false" customHeight="false" outlineLevel="0" collapsed="false">
      <c r="A1" s="1" t="s">
        <v>175</v>
      </c>
    </row>
    <row r="2" customFormat="false" ht="15" hidden="false" customHeight="false" outlineLevel="0" collapsed="false">
      <c r="A2" s="2" t="s">
        <v>176</v>
      </c>
    </row>
    <row r="4" customFormat="false" ht="26.85" hidden="false" customHeight="false" outlineLevel="0" collapsed="false">
      <c r="A4" s="3" t="s">
        <v>177</v>
      </c>
      <c r="B4" s="3" t="s">
        <v>178</v>
      </c>
      <c r="C4" s="3" t="s">
        <v>179</v>
      </c>
      <c r="D4" s="3" t="s">
        <v>7</v>
      </c>
      <c r="E4" s="3" t="s">
        <v>180</v>
      </c>
      <c r="F4" s="3" t="s">
        <v>181</v>
      </c>
      <c r="G4" s="3" t="s">
        <v>182</v>
      </c>
      <c r="H4" s="3" t="s">
        <v>183</v>
      </c>
      <c r="I4" s="3" t="s">
        <v>184</v>
      </c>
      <c r="J4" s="3" t="s">
        <v>185</v>
      </c>
      <c r="K4" s="3" t="s">
        <v>186</v>
      </c>
      <c r="L4" s="3" t="s">
        <v>187</v>
      </c>
      <c r="M4" s="3" t="s">
        <v>12</v>
      </c>
    </row>
    <row r="5" customFormat="false" ht="15" hidden="false" customHeight="false" outlineLevel="0" collapsed="false">
      <c r="A5" s="4"/>
      <c r="B5" s="4"/>
      <c r="C5" s="5"/>
      <c r="D5" s="4"/>
      <c r="E5" s="4"/>
      <c r="F5" s="4"/>
      <c r="G5" s="4"/>
      <c r="H5" s="4"/>
      <c r="I5" s="4"/>
      <c r="J5" s="4"/>
      <c r="K5" s="4"/>
      <c r="L5" s="4"/>
      <c r="M5" s="4"/>
    </row>
    <row r="6" customFormat="false" ht="15" hidden="false" customHeight="false" outlineLevel="0" collapsed="false">
      <c r="A6" s="4"/>
      <c r="B6" s="4"/>
      <c r="C6" s="5"/>
      <c r="D6" s="4"/>
      <c r="E6" s="4"/>
      <c r="F6" s="4"/>
      <c r="G6" s="4"/>
      <c r="H6" s="4"/>
      <c r="I6" s="4"/>
      <c r="J6" s="4"/>
      <c r="K6" s="4"/>
      <c r="L6" s="4"/>
      <c r="M6" s="4"/>
    </row>
    <row r="7" customFormat="false" ht="15" hidden="false" customHeight="false" outlineLevel="0" collapsed="false">
      <c r="A7" s="4"/>
      <c r="B7" s="4"/>
      <c r="C7" s="5"/>
      <c r="D7" s="4"/>
      <c r="E7" s="4"/>
      <c r="F7" s="4"/>
      <c r="G7" s="4"/>
      <c r="H7" s="4"/>
      <c r="I7" s="4"/>
      <c r="J7" s="4"/>
      <c r="K7" s="4"/>
      <c r="L7" s="4"/>
      <c r="M7" s="4"/>
    </row>
    <row r="8" customFormat="false" ht="15" hidden="false" customHeight="false" outlineLevel="0" collapsed="false">
      <c r="A8" s="4"/>
      <c r="B8" s="4"/>
      <c r="C8" s="5"/>
      <c r="D8" s="4"/>
      <c r="E8" s="4"/>
      <c r="F8" s="4"/>
      <c r="G8" s="4"/>
      <c r="H8" s="4"/>
      <c r="I8" s="4"/>
      <c r="J8" s="4"/>
      <c r="K8" s="4"/>
      <c r="L8" s="4"/>
      <c r="M8" s="4"/>
    </row>
    <row r="9" customFormat="false" ht="15" hidden="false" customHeight="false" outlineLevel="0" collapsed="false">
      <c r="A9" s="4"/>
      <c r="B9" s="4"/>
      <c r="C9" s="5"/>
      <c r="D9" s="4"/>
      <c r="E9" s="4"/>
      <c r="F9" s="4"/>
      <c r="G9" s="4"/>
      <c r="H9" s="4"/>
      <c r="I9" s="4"/>
      <c r="J9" s="4"/>
      <c r="K9" s="4"/>
      <c r="L9" s="4"/>
      <c r="M9" s="4"/>
    </row>
    <row r="10" customFormat="false" ht="15" hidden="false" customHeight="false" outlineLevel="0" collapsed="false">
      <c r="A10" s="4"/>
      <c r="B10" s="4"/>
      <c r="C10" s="5"/>
      <c r="D10" s="4"/>
      <c r="E10" s="4"/>
      <c r="F10" s="4"/>
      <c r="G10" s="4"/>
      <c r="H10" s="4"/>
      <c r="I10" s="4"/>
      <c r="J10" s="4"/>
      <c r="K10" s="4"/>
      <c r="L10" s="4"/>
      <c r="M10" s="4"/>
    </row>
    <row r="11" customFormat="false" ht="15" hidden="false" customHeight="false" outlineLevel="0" collapsed="false">
      <c r="A11" s="4"/>
      <c r="B11" s="4"/>
      <c r="C11" s="5"/>
      <c r="D11" s="4"/>
      <c r="E11" s="4"/>
      <c r="F11" s="4"/>
      <c r="G11" s="4"/>
      <c r="H11" s="4"/>
      <c r="I11" s="4"/>
      <c r="J11" s="4"/>
      <c r="K11" s="4"/>
      <c r="L11" s="4"/>
      <c r="M11" s="4"/>
    </row>
    <row r="12" customFormat="false" ht="15" hidden="false" customHeight="false" outlineLevel="0" collapsed="false">
      <c r="A12" s="4"/>
      <c r="B12" s="4"/>
      <c r="C12" s="5"/>
      <c r="D12" s="4"/>
      <c r="E12" s="4"/>
      <c r="F12" s="4"/>
      <c r="G12" s="4"/>
      <c r="H12" s="4"/>
      <c r="I12" s="4"/>
      <c r="J12" s="4"/>
      <c r="K12" s="4"/>
      <c r="L12" s="4"/>
      <c r="M12" s="4"/>
    </row>
    <row r="13" customFormat="false" ht="15" hidden="false" customHeight="false" outlineLevel="0" collapsed="false">
      <c r="A13" s="4"/>
      <c r="B13" s="4"/>
      <c r="C13" s="5"/>
      <c r="D13" s="4"/>
      <c r="E13" s="4"/>
      <c r="F13" s="4"/>
      <c r="G13" s="4"/>
      <c r="H13" s="4"/>
      <c r="I13" s="4"/>
      <c r="J13" s="4"/>
      <c r="K13" s="4"/>
      <c r="L13" s="4"/>
      <c r="M13" s="4"/>
    </row>
    <row r="14" customFormat="false" ht="15" hidden="false" customHeight="false" outlineLevel="0" collapsed="false">
      <c r="A14" s="4"/>
      <c r="B14" s="4"/>
      <c r="C14" s="5"/>
      <c r="D14" s="4"/>
      <c r="E14" s="4"/>
      <c r="F14" s="4"/>
      <c r="G14" s="4"/>
      <c r="H14" s="4"/>
      <c r="I14" s="4"/>
      <c r="J14" s="4"/>
      <c r="K14" s="4"/>
      <c r="L14" s="4"/>
      <c r="M14" s="4"/>
    </row>
    <row r="15" customFormat="false" ht="15" hidden="false" customHeight="false" outlineLevel="0" collapsed="false">
      <c r="A15" s="4"/>
      <c r="B15" s="4"/>
      <c r="C15" s="5"/>
      <c r="D15" s="4"/>
      <c r="E15" s="4"/>
      <c r="F15" s="4"/>
      <c r="G15" s="4"/>
      <c r="H15" s="4"/>
      <c r="I15" s="4"/>
      <c r="J15" s="4"/>
      <c r="K15" s="4"/>
      <c r="L15" s="4"/>
      <c r="M15" s="4"/>
    </row>
    <row r="16" customFormat="false" ht="15" hidden="false" customHeight="false" outlineLevel="0" collapsed="false">
      <c r="A16" s="4"/>
      <c r="B16" s="4"/>
      <c r="C16" s="5"/>
      <c r="D16" s="4"/>
      <c r="E16" s="4"/>
      <c r="F16" s="4"/>
      <c r="G16" s="4"/>
      <c r="H16" s="4"/>
      <c r="I16" s="4"/>
      <c r="J16" s="4"/>
      <c r="K16" s="4"/>
      <c r="L16" s="4"/>
      <c r="M16" s="4"/>
    </row>
    <row r="17" customFormat="false" ht="15" hidden="false" customHeight="false" outlineLevel="0" collapsed="false">
      <c r="A17" s="4"/>
      <c r="B17" s="4"/>
      <c r="C17" s="5"/>
      <c r="D17" s="4"/>
      <c r="E17" s="4"/>
      <c r="F17" s="4"/>
      <c r="G17" s="4"/>
      <c r="H17" s="4"/>
      <c r="I17" s="4"/>
      <c r="J17" s="4"/>
      <c r="K17" s="4"/>
      <c r="L17" s="4"/>
      <c r="M17" s="4"/>
    </row>
    <row r="18" customFormat="false" ht="15" hidden="false" customHeight="false" outlineLevel="0" collapsed="false">
      <c r="A18" s="4"/>
      <c r="B18" s="4"/>
      <c r="C18" s="5"/>
      <c r="D18" s="4"/>
      <c r="E18" s="4"/>
      <c r="F18" s="4"/>
      <c r="G18" s="4"/>
      <c r="H18" s="4"/>
      <c r="I18" s="4"/>
      <c r="J18" s="4"/>
      <c r="K18" s="4"/>
      <c r="L18" s="4"/>
      <c r="M18" s="4"/>
    </row>
    <row r="19" customFormat="false" ht="15" hidden="false" customHeight="false" outlineLevel="0" collapsed="false">
      <c r="A19" s="4"/>
      <c r="B19" s="4"/>
      <c r="C19" s="5"/>
      <c r="D19" s="4"/>
      <c r="E19" s="4"/>
      <c r="F19" s="4"/>
      <c r="G19" s="4"/>
      <c r="H19" s="4"/>
      <c r="I19" s="4"/>
      <c r="J19" s="4"/>
      <c r="K19" s="4"/>
      <c r="L19" s="4"/>
      <c r="M19" s="4"/>
    </row>
    <row r="20" customFormat="false" ht="15" hidden="false" customHeight="false" outlineLevel="0" collapsed="false">
      <c r="A20" s="4"/>
      <c r="B20" s="4"/>
      <c r="C20" s="5"/>
      <c r="D20" s="4"/>
      <c r="E20" s="4"/>
      <c r="F20" s="4"/>
      <c r="G20" s="4"/>
      <c r="H20" s="4"/>
      <c r="I20" s="4"/>
      <c r="J20" s="4"/>
      <c r="K20" s="4"/>
      <c r="L20" s="4"/>
      <c r="M20" s="4"/>
    </row>
    <row r="21" customFormat="false" ht="15" hidden="false" customHeight="false" outlineLevel="0" collapsed="false">
      <c r="A21" s="4"/>
      <c r="B21" s="4"/>
      <c r="C21" s="5"/>
      <c r="D21" s="4"/>
      <c r="E21" s="4"/>
      <c r="F21" s="4"/>
      <c r="G21" s="4"/>
      <c r="H21" s="4"/>
      <c r="I21" s="4"/>
      <c r="J21" s="4"/>
      <c r="K21" s="4"/>
      <c r="L21" s="4"/>
      <c r="M21" s="4"/>
    </row>
    <row r="22" customFormat="false" ht="15" hidden="false" customHeight="false" outlineLevel="0" collapsed="false">
      <c r="A22" s="4"/>
      <c r="B22" s="4"/>
      <c r="C22" s="5"/>
      <c r="D22" s="4"/>
      <c r="E22" s="4"/>
      <c r="F22" s="4"/>
      <c r="G22" s="4"/>
      <c r="H22" s="4"/>
      <c r="I22" s="4"/>
      <c r="J22" s="4"/>
      <c r="K22" s="4"/>
      <c r="L22" s="4"/>
      <c r="M22" s="4"/>
    </row>
    <row r="23" customFormat="false" ht="15" hidden="false" customHeight="false" outlineLevel="0" collapsed="false">
      <c r="A23" s="4"/>
      <c r="B23" s="4"/>
      <c r="C23" s="5"/>
      <c r="D23" s="4"/>
      <c r="E23" s="4"/>
      <c r="F23" s="4"/>
      <c r="G23" s="4"/>
      <c r="H23" s="4"/>
      <c r="I23" s="4"/>
      <c r="J23" s="4"/>
      <c r="K23" s="4"/>
      <c r="L23" s="4"/>
      <c r="M23" s="4"/>
    </row>
    <row r="24" customFormat="false" ht="15" hidden="false" customHeight="false" outlineLevel="0" collapsed="false">
      <c r="A24" s="4"/>
      <c r="B24" s="4"/>
      <c r="C24" s="5"/>
      <c r="D24" s="4"/>
      <c r="E24" s="4"/>
      <c r="F24" s="4"/>
      <c r="G24" s="4"/>
      <c r="H24" s="4"/>
      <c r="I24" s="4"/>
      <c r="J24" s="4"/>
      <c r="K24" s="4"/>
      <c r="L24" s="4"/>
      <c r="M24" s="4"/>
    </row>
    <row r="25" customFormat="false" ht="15" hidden="false" customHeight="false" outlineLevel="0" collapsed="false">
      <c r="A25" s="4"/>
      <c r="B25" s="4"/>
      <c r="C25" s="5"/>
      <c r="D25" s="4"/>
      <c r="E25" s="4"/>
      <c r="F25" s="4"/>
      <c r="G25" s="4"/>
      <c r="H25" s="4"/>
      <c r="I25" s="4"/>
      <c r="J25" s="4"/>
      <c r="K25" s="4"/>
      <c r="L25" s="4"/>
      <c r="M25" s="4"/>
    </row>
    <row r="26" customFormat="false" ht="15" hidden="false" customHeight="false" outlineLevel="0" collapsed="false">
      <c r="A26" s="4"/>
      <c r="B26" s="4"/>
      <c r="C26" s="5"/>
      <c r="D26" s="4"/>
      <c r="E26" s="4"/>
      <c r="F26" s="4"/>
      <c r="G26" s="4"/>
      <c r="H26" s="4"/>
      <c r="I26" s="4"/>
      <c r="J26" s="4"/>
      <c r="K26" s="4"/>
      <c r="L26" s="4"/>
      <c r="M26" s="4"/>
    </row>
    <row r="27" customFormat="false" ht="15" hidden="false" customHeight="false" outlineLevel="0" collapsed="false">
      <c r="A27" s="4"/>
      <c r="B27" s="4"/>
      <c r="C27" s="5"/>
      <c r="D27" s="4"/>
      <c r="E27" s="4"/>
      <c r="F27" s="4"/>
      <c r="G27" s="4"/>
      <c r="H27" s="4"/>
      <c r="I27" s="4"/>
      <c r="J27" s="4"/>
      <c r="K27" s="4"/>
      <c r="L27" s="4"/>
      <c r="M27" s="4"/>
    </row>
    <row r="28" customFormat="false" ht="15" hidden="false" customHeight="false" outlineLevel="0" collapsed="false">
      <c r="A28" s="4"/>
      <c r="B28" s="4"/>
      <c r="C28" s="5"/>
      <c r="D28" s="4"/>
      <c r="E28" s="4"/>
      <c r="F28" s="4"/>
      <c r="G28" s="4"/>
      <c r="H28" s="4"/>
      <c r="I28" s="4"/>
      <c r="J28" s="4"/>
      <c r="K28" s="4"/>
      <c r="L28" s="4"/>
      <c r="M28" s="4"/>
    </row>
    <row r="29" customFormat="false" ht="15" hidden="false" customHeight="false" outlineLevel="0" collapsed="false">
      <c r="A29" s="4"/>
      <c r="B29" s="4"/>
      <c r="C29" s="5"/>
      <c r="D29" s="4"/>
      <c r="E29" s="4"/>
      <c r="F29" s="4"/>
      <c r="G29" s="4"/>
      <c r="H29" s="4"/>
      <c r="I29" s="4"/>
      <c r="J29" s="4"/>
      <c r="K29" s="4"/>
      <c r="L29" s="4"/>
      <c r="M29" s="4"/>
    </row>
    <row r="30" customFormat="false" ht="15" hidden="false" customHeight="false" outlineLevel="0" collapsed="false">
      <c r="A30" s="4"/>
      <c r="B30" s="4"/>
      <c r="C30" s="5"/>
      <c r="D30" s="4"/>
      <c r="E30" s="4"/>
      <c r="F30" s="4"/>
      <c r="G30" s="4"/>
      <c r="H30" s="4"/>
      <c r="I30" s="4"/>
      <c r="J30" s="4"/>
      <c r="K30" s="4"/>
      <c r="L30" s="4"/>
      <c r="M30" s="4"/>
    </row>
    <row r="31" customFormat="false" ht="15" hidden="false" customHeight="false" outlineLevel="0" collapsed="false">
      <c r="A31" s="4"/>
      <c r="B31" s="4"/>
      <c r="C31" s="5"/>
      <c r="D31" s="4"/>
      <c r="E31" s="4"/>
      <c r="F31" s="4"/>
      <c r="G31" s="4"/>
      <c r="H31" s="4"/>
      <c r="I31" s="4"/>
      <c r="J31" s="4"/>
      <c r="K31" s="4"/>
      <c r="L31" s="4"/>
      <c r="M31" s="4"/>
    </row>
    <row r="32" customFormat="false" ht="15" hidden="false" customHeight="false" outlineLevel="0" collapsed="false">
      <c r="A32" s="4"/>
      <c r="B32" s="4"/>
      <c r="C32" s="5"/>
      <c r="D32" s="4"/>
      <c r="E32" s="4"/>
      <c r="F32" s="4"/>
      <c r="G32" s="4"/>
      <c r="H32" s="4"/>
      <c r="I32" s="4"/>
      <c r="J32" s="4"/>
      <c r="K32" s="4"/>
      <c r="L32" s="4"/>
      <c r="M32" s="4"/>
    </row>
    <row r="33" customFormat="false" ht="15" hidden="false" customHeight="false" outlineLevel="0" collapsed="false">
      <c r="A33" s="4"/>
      <c r="B33" s="4"/>
      <c r="C33" s="5"/>
      <c r="D33" s="4"/>
      <c r="E33" s="4"/>
      <c r="F33" s="4"/>
      <c r="G33" s="4"/>
      <c r="H33" s="4"/>
      <c r="I33" s="4"/>
      <c r="J33" s="4"/>
      <c r="K33" s="4"/>
      <c r="L33" s="4"/>
      <c r="M33" s="4"/>
    </row>
    <row r="34" customFormat="false" ht="15" hidden="false" customHeight="false" outlineLevel="0" collapsed="false">
      <c r="A34" s="4"/>
      <c r="B34" s="4"/>
      <c r="C34" s="5"/>
      <c r="D34" s="4"/>
      <c r="E34" s="4"/>
      <c r="F34" s="4"/>
      <c r="G34" s="4"/>
      <c r="H34" s="4"/>
      <c r="I34" s="4"/>
      <c r="J34" s="4"/>
      <c r="K34" s="4"/>
      <c r="L34" s="4"/>
      <c r="M34" s="4"/>
    </row>
    <row r="36" customFormat="false" ht="15" hidden="false" customHeight="false" outlineLevel="0" collapsed="false">
      <c r="B36" s="6" t="s">
        <v>188</v>
      </c>
      <c r="C36" s="7" t="n">
        <f aca="false">SUMIF(D5:D34,"Pago",C5:C34)</f>
        <v>0</v>
      </c>
    </row>
    <row r="37" customFormat="false" ht="15" hidden="false" customHeight="false" outlineLevel="0" collapsed="false">
      <c r="B37" s="6" t="s">
        <v>189</v>
      </c>
      <c r="C37" s="8" t="n">
        <f aca="false">SUMIF(D5:D34,"Negociando",C5:C34)</f>
        <v>0</v>
      </c>
    </row>
    <row r="38" customFormat="false" ht="15" hidden="false" customHeight="false" outlineLevel="0" collapsed="false">
      <c r="B38" s="6" t="s">
        <v>190</v>
      </c>
      <c r="C38" s="9" t="n">
        <f aca="false">C36*0.15</f>
        <v>0</v>
      </c>
    </row>
  </sheetData>
  <dataValidations count="7">
    <dataValidation allowBlank="true" errorStyle="stop" operator="between" showDropDown="false" showErrorMessage="false" showInputMessage="false" sqref="B5:B34" type="list">
      <formula1>"UGC,Post patrocinado,Review,Evento,Long-term,Permuta,Afiliado"</formula1>
      <formula2>0</formula2>
    </dataValidation>
    <dataValidation allowBlank="true" errorStyle="stop" operator="between" showDropDown="false" showErrorMessage="false" showInputMessage="false" sqref="D5:D34" type="list">
      <formula1>"Negociando,Contrato enviado,Assinado,Produzindo,Entregue,Pago,Encerrado"</formula1>
      <formula2>0</formula2>
    </dataValidation>
    <dataValidation allowBlank="true" errorStyle="stop" operator="between" showDropDown="false" showErrorMessage="false" showInputMessage="false" sqref="E5:E34" type="list">
      <formula1>"Sim,Nao"</formula1>
      <formula2>0</formula2>
    </dataValidation>
    <dataValidation allowBlank="true" errorStyle="stop" operator="between" showDropDown="false" showErrorMessage="false" showInputMessage="false" sqref="F5:F34" type="list">
      <formula1>"Sim,Nao"</formula1>
      <formula2>0</formula2>
    </dataValidation>
    <dataValidation allowBlank="true" errorStyle="stop" operator="between" showDropDown="false" showErrorMessage="false" showInputMessage="false" sqref="I5:I34" type="list">
      <formula1>"Sim,Nao"</formula1>
      <formula2>0</formula2>
    </dataValidation>
    <dataValidation allowBlank="true" errorStyle="stop" operator="between" showDropDown="false" showErrorMessage="false" showInputMessage="false" sqref="J5:J34" type="list">
      <formula1>"Sim,Nao"</formula1>
      <formula2>0</formula2>
    </dataValidation>
    <dataValidation allowBlank="true" errorStyle="stop" operator="between" showDropDown="false" showErrorMessage="false" showInputMessage="false" sqref="K5:K34" type="list">
      <formula1>"Sim,Nao"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CD34D"/>
    <pageSetUpPr fitToPage="false"/>
  </sheetPr>
  <dimension ref="A1:N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5"/>
    <col collapsed="false" customWidth="true" hidden="false" outlineLevel="0" max="3" min="3" style="0" width="14"/>
    <col collapsed="false" customWidth="true" hidden="false" outlineLevel="0" max="4" min="4" style="0" width="15"/>
    <col collapsed="false" customWidth="true" hidden="false" outlineLevel="0" max="5" min="5" style="0" width="13"/>
    <col collapsed="false" customWidth="true" hidden="false" outlineLevel="0" max="6" min="6" style="0" width="16"/>
    <col collapsed="false" customWidth="true" hidden="false" outlineLevel="0" max="7" min="7" style="0" width="10"/>
    <col collapsed="false" customWidth="true" hidden="false" outlineLevel="0" max="9" min="8" style="0" width="16"/>
    <col collapsed="false" customWidth="true" hidden="false" outlineLevel="0" max="11" min="10" style="0" width="15"/>
    <col collapsed="false" customWidth="true" hidden="false" outlineLevel="0" max="12" min="12" style="0" width="17"/>
    <col collapsed="false" customWidth="true" hidden="false" outlineLevel="0" max="13" min="13" style="0" width="22"/>
    <col collapsed="false" customWidth="true" hidden="false" outlineLevel="0" max="14" min="14" style="0" width="30"/>
  </cols>
  <sheetData>
    <row r="1" customFormat="false" ht="19.7" hidden="false" customHeight="false" outlineLevel="0" collapsed="false">
      <c r="A1" s="1" t="s">
        <v>191</v>
      </c>
    </row>
    <row r="2" customFormat="false" ht="15" hidden="false" customHeight="false" outlineLevel="0" collapsed="false">
      <c r="A2" s="2" t="s">
        <v>192</v>
      </c>
    </row>
    <row r="4" customFormat="false" ht="26.85" hidden="false" customHeight="false" outlineLevel="0" collapsed="false">
      <c r="A4" s="3" t="s">
        <v>193</v>
      </c>
      <c r="B4" s="3" t="s">
        <v>194</v>
      </c>
      <c r="C4" s="3" t="s">
        <v>195</v>
      </c>
      <c r="D4" s="3" t="s">
        <v>196</v>
      </c>
      <c r="E4" s="3" t="s">
        <v>197</v>
      </c>
      <c r="F4" s="3" t="s">
        <v>198</v>
      </c>
      <c r="G4" s="3" t="s">
        <v>199</v>
      </c>
      <c r="H4" s="3" t="s">
        <v>200</v>
      </c>
      <c r="I4" s="3" t="s">
        <v>201</v>
      </c>
      <c r="J4" s="3" t="s">
        <v>202</v>
      </c>
      <c r="K4" s="3" t="s">
        <v>203</v>
      </c>
      <c r="L4" s="3" t="s">
        <v>204</v>
      </c>
      <c r="M4" s="3" t="s">
        <v>205</v>
      </c>
      <c r="N4" s="3" t="s">
        <v>206</v>
      </c>
    </row>
    <row r="5" customFormat="false" ht="15" hidden="false" customHeight="false" outlineLevel="0" collapsed="false">
      <c r="A5" s="4" t="s">
        <v>207</v>
      </c>
      <c r="B5" s="4" t="s">
        <v>143</v>
      </c>
      <c r="C5" s="4" t="n">
        <v>1200</v>
      </c>
      <c r="D5" s="4" t="n">
        <v>0</v>
      </c>
      <c r="E5" s="4" t="n">
        <v>32000</v>
      </c>
      <c r="F5" s="4"/>
      <c r="G5" s="4"/>
      <c r="H5" s="4" t="n">
        <v>0</v>
      </c>
      <c r="I5" s="4" t="n">
        <v>0</v>
      </c>
      <c r="J5" s="4" t="n">
        <v>0</v>
      </c>
      <c r="K5" s="4" t="n">
        <v>0</v>
      </c>
      <c r="L5" s="5" t="n">
        <v>0</v>
      </c>
      <c r="M5" s="4" t="s">
        <v>208</v>
      </c>
      <c r="N5" s="4" t="s">
        <v>209</v>
      </c>
    </row>
    <row r="6" customFormat="false" ht="15" hidden="false" customHeight="false" outlineLevel="0" collapsed="false">
      <c r="A6" s="4"/>
      <c r="B6" s="4"/>
      <c r="C6" s="4"/>
      <c r="D6" s="4" t="str">
        <f aca="false">IF(C6="","",C6-C5)</f>
        <v/>
      </c>
      <c r="E6" s="4"/>
      <c r="F6" s="4"/>
      <c r="G6" s="4"/>
      <c r="H6" s="4"/>
      <c r="I6" s="4"/>
      <c r="J6" s="4"/>
      <c r="K6" s="4"/>
      <c r="L6" s="5"/>
      <c r="M6" s="4"/>
      <c r="N6" s="4"/>
    </row>
    <row r="7" customFormat="false" ht="15" hidden="false" customHeight="false" outlineLevel="0" collapsed="false">
      <c r="A7" s="4"/>
      <c r="B7" s="4"/>
      <c r="C7" s="4"/>
      <c r="D7" s="4" t="str">
        <f aca="false">IF(C7="","",C7-C6)</f>
        <v/>
      </c>
      <c r="E7" s="4"/>
      <c r="F7" s="4"/>
      <c r="G7" s="4"/>
      <c r="H7" s="4"/>
      <c r="I7" s="4"/>
      <c r="J7" s="4"/>
      <c r="K7" s="4"/>
      <c r="L7" s="5"/>
      <c r="M7" s="4"/>
      <c r="N7" s="4"/>
    </row>
    <row r="8" customFormat="false" ht="15" hidden="false" customHeight="false" outlineLevel="0" collapsed="false">
      <c r="A8" s="4"/>
      <c r="B8" s="4"/>
      <c r="C8" s="4"/>
      <c r="D8" s="4" t="str">
        <f aca="false">IF(C8="","",C8-C7)</f>
        <v/>
      </c>
      <c r="E8" s="4"/>
      <c r="F8" s="4"/>
      <c r="G8" s="4"/>
      <c r="H8" s="4"/>
      <c r="I8" s="4"/>
      <c r="J8" s="4"/>
      <c r="K8" s="4"/>
      <c r="L8" s="5"/>
      <c r="M8" s="4"/>
      <c r="N8" s="4"/>
    </row>
    <row r="9" customFormat="false" ht="15" hidden="false" customHeight="false" outlineLevel="0" collapsed="false">
      <c r="A9" s="4"/>
      <c r="B9" s="4"/>
      <c r="C9" s="4"/>
      <c r="D9" s="4" t="str">
        <f aca="false">IF(C9="","",C9-C8)</f>
        <v/>
      </c>
      <c r="E9" s="4"/>
      <c r="F9" s="4"/>
      <c r="G9" s="4"/>
      <c r="H9" s="4"/>
      <c r="I9" s="4"/>
      <c r="J9" s="4"/>
      <c r="K9" s="4"/>
      <c r="L9" s="5"/>
      <c r="M9" s="4"/>
      <c r="N9" s="4"/>
    </row>
    <row r="10" customFormat="false" ht="15" hidden="false" customHeight="false" outlineLevel="0" collapsed="false">
      <c r="A10" s="4"/>
      <c r="B10" s="4"/>
      <c r="C10" s="4"/>
      <c r="D10" s="4" t="str">
        <f aca="false">IF(C10="","",C10-C9)</f>
        <v/>
      </c>
      <c r="E10" s="4"/>
      <c r="F10" s="4"/>
      <c r="G10" s="4"/>
      <c r="H10" s="4"/>
      <c r="I10" s="4"/>
      <c r="J10" s="4"/>
      <c r="K10" s="4"/>
      <c r="L10" s="5"/>
      <c r="M10" s="4"/>
      <c r="N10" s="4"/>
    </row>
    <row r="11" customFormat="false" ht="15" hidden="false" customHeight="false" outlineLevel="0" collapsed="false">
      <c r="A11" s="4"/>
      <c r="B11" s="4"/>
      <c r="C11" s="4"/>
      <c r="D11" s="4" t="str">
        <f aca="false">IF(C11="","",C11-C10)</f>
        <v/>
      </c>
      <c r="E11" s="4"/>
      <c r="F11" s="4"/>
      <c r="G11" s="4"/>
      <c r="H11" s="4"/>
      <c r="I11" s="4"/>
      <c r="J11" s="4"/>
      <c r="K11" s="4"/>
      <c r="L11" s="5"/>
      <c r="M11" s="4"/>
      <c r="N11" s="4"/>
    </row>
    <row r="12" customFormat="false" ht="15" hidden="false" customHeight="false" outlineLevel="0" collapsed="false">
      <c r="A12" s="4"/>
      <c r="B12" s="4"/>
      <c r="C12" s="4"/>
      <c r="D12" s="4" t="str">
        <f aca="false">IF(C12="","",C12-C11)</f>
        <v/>
      </c>
      <c r="E12" s="4"/>
      <c r="F12" s="4"/>
      <c r="G12" s="4"/>
      <c r="H12" s="4"/>
      <c r="I12" s="4"/>
      <c r="J12" s="4"/>
      <c r="K12" s="4"/>
      <c r="L12" s="5"/>
      <c r="M12" s="4"/>
      <c r="N12" s="4"/>
    </row>
    <row r="13" customFormat="false" ht="15" hidden="false" customHeight="false" outlineLevel="0" collapsed="false">
      <c r="A13" s="4"/>
      <c r="B13" s="4"/>
      <c r="C13" s="4"/>
      <c r="D13" s="4" t="str">
        <f aca="false">IF(C13="","",C13-C12)</f>
        <v/>
      </c>
      <c r="E13" s="4"/>
      <c r="F13" s="4"/>
      <c r="G13" s="4"/>
      <c r="H13" s="4"/>
      <c r="I13" s="4"/>
      <c r="J13" s="4"/>
      <c r="K13" s="4"/>
      <c r="L13" s="5"/>
      <c r="M13" s="4"/>
      <c r="N13" s="4"/>
    </row>
    <row r="14" customFormat="false" ht="15" hidden="false" customHeight="false" outlineLevel="0" collapsed="false">
      <c r="A14" s="4"/>
      <c r="B14" s="4"/>
      <c r="C14" s="4"/>
      <c r="D14" s="4" t="str">
        <f aca="false">IF(C14="","",C14-C13)</f>
        <v/>
      </c>
      <c r="E14" s="4"/>
      <c r="F14" s="4"/>
      <c r="G14" s="4"/>
      <c r="H14" s="4"/>
      <c r="I14" s="4"/>
      <c r="J14" s="4"/>
      <c r="K14" s="4"/>
      <c r="L14" s="5"/>
      <c r="M14" s="4"/>
      <c r="N14" s="4"/>
    </row>
    <row r="15" customFormat="false" ht="15" hidden="false" customHeight="false" outlineLevel="0" collapsed="false">
      <c r="A15" s="4"/>
      <c r="B15" s="4"/>
      <c r="C15" s="4"/>
      <c r="D15" s="4" t="str">
        <f aca="false">IF(C15="","",C15-C14)</f>
        <v/>
      </c>
      <c r="E15" s="4"/>
      <c r="F15" s="4"/>
      <c r="G15" s="4"/>
      <c r="H15" s="4"/>
      <c r="I15" s="4"/>
      <c r="J15" s="4"/>
      <c r="K15" s="4"/>
      <c r="L15" s="5"/>
      <c r="M15" s="4"/>
      <c r="N15" s="4"/>
    </row>
    <row r="16" customFormat="false" ht="15" hidden="false" customHeight="false" outlineLevel="0" collapsed="false">
      <c r="A16" s="4"/>
      <c r="B16" s="4"/>
      <c r="C16" s="4"/>
      <c r="D16" s="4" t="str">
        <f aca="false">IF(C16="","",C16-C15)</f>
        <v/>
      </c>
      <c r="E16" s="4"/>
      <c r="F16" s="4"/>
      <c r="G16" s="4"/>
      <c r="H16" s="4"/>
      <c r="I16" s="4"/>
      <c r="J16" s="4"/>
      <c r="K16" s="4"/>
      <c r="L16" s="5"/>
      <c r="M16" s="4"/>
      <c r="N16" s="4"/>
    </row>
    <row r="17" customFormat="false" ht="15" hidden="false" customHeight="false" outlineLevel="0" collapsed="false">
      <c r="A17" s="4"/>
      <c r="B17" s="4"/>
      <c r="C17" s="4"/>
      <c r="D17" s="4" t="str">
        <f aca="false">IF(C17="","",C17-C16)</f>
        <v/>
      </c>
      <c r="E17" s="4"/>
      <c r="F17" s="4"/>
      <c r="G17" s="4"/>
      <c r="H17" s="4"/>
      <c r="I17" s="4"/>
      <c r="J17" s="4"/>
      <c r="K17" s="4"/>
      <c r="L17" s="5"/>
      <c r="M17" s="4"/>
      <c r="N17" s="4"/>
    </row>
    <row r="18" customFormat="false" ht="15" hidden="false" customHeight="false" outlineLevel="0" collapsed="false">
      <c r="A18" s="4"/>
      <c r="B18" s="4"/>
      <c r="C18" s="4"/>
      <c r="D18" s="4" t="str">
        <f aca="false">IF(C18="","",C18-C17)</f>
        <v/>
      </c>
      <c r="E18" s="4"/>
      <c r="F18" s="4"/>
      <c r="G18" s="4"/>
      <c r="H18" s="4"/>
      <c r="I18" s="4"/>
      <c r="J18" s="4"/>
      <c r="K18" s="4"/>
      <c r="L18" s="5"/>
      <c r="M18" s="4"/>
      <c r="N18" s="4"/>
    </row>
    <row r="19" customFormat="false" ht="15" hidden="false" customHeight="false" outlineLevel="0" collapsed="false">
      <c r="A19" s="4"/>
      <c r="B19" s="4"/>
      <c r="C19" s="4"/>
      <c r="D19" s="4" t="str">
        <f aca="false">IF(C19="","",C19-C18)</f>
        <v/>
      </c>
      <c r="E19" s="4"/>
      <c r="F19" s="4"/>
      <c r="G19" s="4"/>
      <c r="H19" s="4"/>
      <c r="I19" s="4"/>
      <c r="J19" s="4"/>
      <c r="K19" s="4"/>
      <c r="L19" s="5"/>
      <c r="M19" s="4"/>
      <c r="N19" s="4"/>
    </row>
    <row r="20" customFormat="false" ht="15" hidden="false" customHeight="false" outlineLevel="0" collapsed="false">
      <c r="A20" s="4"/>
      <c r="B20" s="4"/>
      <c r="C20" s="4"/>
      <c r="D20" s="4" t="str">
        <f aca="false">IF(C20="","",C20-C19)</f>
        <v/>
      </c>
      <c r="E20" s="4"/>
      <c r="F20" s="4"/>
      <c r="G20" s="4"/>
      <c r="H20" s="4"/>
      <c r="I20" s="4"/>
      <c r="J20" s="4"/>
      <c r="K20" s="4"/>
      <c r="L20" s="5"/>
      <c r="M20" s="4"/>
      <c r="N20" s="4"/>
    </row>
    <row r="21" customFormat="false" ht="15" hidden="false" customHeight="false" outlineLevel="0" collapsed="false">
      <c r="A21" s="4"/>
      <c r="B21" s="4"/>
      <c r="C21" s="4"/>
      <c r="D21" s="4" t="str">
        <f aca="false">IF(C21="","",C21-C20)</f>
        <v/>
      </c>
      <c r="E21" s="4"/>
      <c r="F21" s="4"/>
      <c r="G21" s="4"/>
      <c r="H21" s="4"/>
      <c r="I21" s="4"/>
      <c r="J21" s="4"/>
      <c r="K21" s="4"/>
      <c r="L21" s="5"/>
      <c r="M21" s="4"/>
      <c r="N21" s="4"/>
    </row>
    <row r="22" customFormat="false" ht="15" hidden="false" customHeight="false" outlineLevel="0" collapsed="false">
      <c r="A22" s="4"/>
      <c r="B22" s="4"/>
      <c r="C22" s="4"/>
      <c r="D22" s="4" t="str">
        <f aca="false">IF(C22="","",C22-C21)</f>
        <v/>
      </c>
      <c r="E22" s="4"/>
      <c r="F22" s="4"/>
      <c r="G22" s="4"/>
      <c r="H22" s="4"/>
      <c r="I22" s="4"/>
      <c r="J22" s="4"/>
      <c r="K22" s="4"/>
      <c r="L22" s="5"/>
      <c r="M22" s="4"/>
      <c r="N22" s="4"/>
    </row>
    <row r="23" customFormat="false" ht="15" hidden="false" customHeight="false" outlineLevel="0" collapsed="false">
      <c r="A23" s="4"/>
      <c r="B23" s="4"/>
      <c r="C23" s="4"/>
      <c r="D23" s="4" t="str">
        <f aca="false">IF(C23="","",C23-C22)</f>
        <v/>
      </c>
      <c r="E23" s="4"/>
      <c r="F23" s="4"/>
      <c r="G23" s="4"/>
      <c r="H23" s="4"/>
      <c r="I23" s="4"/>
      <c r="J23" s="4"/>
      <c r="K23" s="4"/>
      <c r="L23" s="5"/>
      <c r="M23" s="4"/>
      <c r="N23" s="4"/>
    </row>
    <row r="24" customFormat="false" ht="15" hidden="false" customHeight="false" outlineLevel="0" collapsed="false">
      <c r="A24" s="4"/>
      <c r="B24" s="4"/>
      <c r="C24" s="4"/>
      <c r="D24" s="4" t="str">
        <f aca="false">IF(C24="","",C24-C23)</f>
        <v/>
      </c>
      <c r="E24" s="4"/>
      <c r="F24" s="4"/>
      <c r="G24" s="4"/>
      <c r="H24" s="4"/>
      <c r="I24" s="4"/>
      <c r="J24" s="4"/>
      <c r="K24" s="4"/>
      <c r="L24" s="5"/>
      <c r="M24" s="4"/>
      <c r="N24" s="4"/>
    </row>
    <row r="25" customFormat="false" ht="15" hidden="false" customHeight="false" outlineLevel="0" collapsed="false">
      <c r="A25" s="4"/>
      <c r="B25" s="4"/>
      <c r="C25" s="4"/>
      <c r="D25" s="4" t="str">
        <f aca="false">IF(C25="","",C25-C24)</f>
        <v/>
      </c>
      <c r="E25" s="4"/>
      <c r="F25" s="4"/>
      <c r="G25" s="4"/>
      <c r="H25" s="4"/>
      <c r="I25" s="4"/>
      <c r="J25" s="4"/>
      <c r="K25" s="4"/>
      <c r="L25" s="5"/>
      <c r="M25" s="4"/>
      <c r="N25" s="4"/>
    </row>
    <row r="26" customFormat="false" ht="15" hidden="false" customHeight="false" outlineLevel="0" collapsed="false">
      <c r="A26" s="4"/>
      <c r="B26" s="4"/>
      <c r="C26" s="4"/>
      <c r="D26" s="4" t="str">
        <f aca="false">IF(C26="","",C26-C25)</f>
        <v/>
      </c>
      <c r="E26" s="4"/>
      <c r="F26" s="4"/>
      <c r="G26" s="4"/>
      <c r="H26" s="4"/>
      <c r="I26" s="4"/>
      <c r="J26" s="4"/>
      <c r="K26" s="4"/>
      <c r="L26" s="5"/>
      <c r="M26" s="4"/>
      <c r="N26" s="4"/>
    </row>
    <row r="27" customFormat="false" ht="15" hidden="false" customHeight="false" outlineLevel="0" collapsed="false">
      <c r="A27" s="4"/>
      <c r="B27" s="4"/>
      <c r="C27" s="4"/>
      <c r="D27" s="4" t="str">
        <f aca="false">IF(C27="","",C27-C26)</f>
        <v/>
      </c>
      <c r="E27" s="4"/>
      <c r="F27" s="4"/>
      <c r="G27" s="4"/>
      <c r="H27" s="4"/>
      <c r="I27" s="4"/>
      <c r="J27" s="4"/>
      <c r="K27" s="4"/>
      <c r="L27" s="5"/>
      <c r="M27" s="4"/>
      <c r="N27" s="4"/>
    </row>
    <row r="28" customFormat="false" ht="15" hidden="false" customHeight="false" outlineLevel="0" collapsed="false">
      <c r="A28" s="4"/>
      <c r="B28" s="4"/>
      <c r="C28" s="4"/>
      <c r="D28" s="4" t="str">
        <f aca="false">IF(C28="","",C28-C27)</f>
        <v/>
      </c>
      <c r="E28" s="4"/>
      <c r="F28" s="4"/>
      <c r="G28" s="4"/>
      <c r="H28" s="4"/>
      <c r="I28" s="4"/>
      <c r="J28" s="4"/>
      <c r="K28" s="4"/>
      <c r="L28" s="5"/>
      <c r="M28" s="4"/>
      <c r="N28" s="4"/>
    </row>
    <row r="29" customFormat="false" ht="15" hidden="false" customHeight="false" outlineLevel="0" collapsed="false">
      <c r="A29" s="4"/>
      <c r="B29" s="4"/>
      <c r="C29" s="4"/>
      <c r="D29" s="4" t="str">
        <f aca="false">IF(C29="","",C29-C28)</f>
        <v/>
      </c>
      <c r="E29" s="4"/>
      <c r="F29" s="4"/>
      <c r="G29" s="4"/>
      <c r="H29" s="4"/>
      <c r="I29" s="4"/>
      <c r="J29" s="4"/>
      <c r="K29" s="4"/>
      <c r="L29" s="5"/>
      <c r="M29" s="4"/>
      <c r="N29" s="4"/>
    </row>
    <row r="31" customFormat="false" ht="15" hidden="false" customHeight="false" outlineLevel="0" collapsed="false">
      <c r="A31" s="6" t="s">
        <v>210</v>
      </c>
      <c r="L31" s="7" t="n">
        <f aca="false">SUM(L5:L30)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A189A"/>
    <pageSetUpPr fitToPage="false"/>
  </sheetPr>
  <dimension ref="A1:G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  <col collapsed="false" customWidth="true" hidden="false" outlineLevel="0" max="3" min="3" style="0" width="13"/>
    <col collapsed="false" customWidth="true" hidden="false" outlineLevel="0" max="4" min="4" style="0" width="15"/>
    <col collapsed="false" customWidth="true" hidden="false" outlineLevel="0" max="5" min="5" style="0" width="12"/>
    <col collapsed="false" customWidth="true" hidden="false" outlineLevel="0" max="6" min="6" style="0" width="13"/>
    <col collapsed="false" customWidth="true" hidden="false" outlineLevel="0" max="7" min="7" style="0" width="16"/>
  </cols>
  <sheetData>
    <row r="1" customFormat="false" ht="19.7" hidden="false" customHeight="false" outlineLevel="0" collapsed="false">
      <c r="A1" s="1" t="s">
        <v>211</v>
      </c>
    </row>
    <row r="2" customFormat="false" ht="15" hidden="false" customHeight="false" outlineLevel="0" collapsed="false">
      <c r="A2" s="2" t="s">
        <v>212</v>
      </c>
    </row>
    <row r="4" customFormat="false" ht="15" hidden="false" customHeight="false" outlineLevel="0" collapsed="false">
      <c r="A4" s="3" t="s">
        <v>213</v>
      </c>
      <c r="B4" s="3" t="s">
        <v>3</v>
      </c>
      <c r="C4" s="3" t="s">
        <v>214</v>
      </c>
      <c r="D4" s="3" t="s">
        <v>215</v>
      </c>
      <c r="E4" s="3" t="s">
        <v>216</v>
      </c>
      <c r="F4" s="3" t="s">
        <v>217</v>
      </c>
      <c r="G4" s="3" t="s">
        <v>7</v>
      </c>
    </row>
    <row r="5" customFormat="false" ht="15" hidden="false" customHeight="false" outlineLevel="0" collapsed="false">
      <c r="A5" s="4" t="s">
        <v>218</v>
      </c>
      <c r="B5" s="4" t="s">
        <v>219</v>
      </c>
      <c r="C5" s="4" t="n">
        <v>1200</v>
      </c>
      <c r="D5" s="4" t="n">
        <v>5000</v>
      </c>
      <c r="E5" s="4" t="n">
        <v>1200</v>
      </c>
      <c r="F5" s="10" t="n">
        <f aca="false">IF(D5=0,0,E5/D5)</f>
        <v>0.24</v>
      </c>
      <c r="G5" s="4" t="str">
        <f aca="false">IF(F5&gt;=1,"Concluida",IF(F5&gt;0,"Em progresso","Nao iniciada"))</f>
        <v>Em progresso</v>
      </c>
    </row>
    <row r="6" customFormat="false" ht="15" hidden="false" customHeight="false" outlineLevel="0" collapsed="false">
      <c r="A6" s="4" t="s">
        <v>220</v>
      </c>
      <c r="B6" s="4" t="s">
        <v>219</v>
      </c>
      <c r="C6" s="4" t="n">
        <v>5000</v>
      </c>
      <c r="D6" s="4" t="n">
        <v>15000</v>
      </c>
      <c r="E6" s="4" t="n">
        <v>5000</v>
      </c>
      <c r="F6" s="10" t="n">
        <f aca="false">IF(D6=0,0,E6/D6)</f>
        <v>0.333333333333333</v>
      </c>
      <c r="G6" s="4" t="str">
        <f aca="false">IF(F6&gt;=1,"Concluida",IF(F6&gt;0,"Em progresso","Nao iniciada"))</f>
        <v>Em progresso</v>
      </c>
    </row>
    <row r="7" customFormat="false" ht="15" hidden="false" customHeight="false" outlineLevel="0" collapsed="false">
      <c r="A7" s="4" t="s">
        <v>221</v>
      </c>
      <c r="B7" s="4" t="s">
        <v>219</v>
      </c>
      <c r="C7" s="4" t="n">
        <v>32000</v>
      </c>
      <c r="D7" s="4" t="n">
        <v>150000</v>
      </c>
      <c r="E7" s="4" t="n">
        <v>32000</v>
      </c>
      <c r="F7" s="10" t="n">
        <f aca="false">IF(D7=0,0,E7/D7)</f>
        <v>0.213333333333333</v>
      </c>
      <c r="G7" s="4" t="str">
        <f aca="false">IF(F7&gt;=1,"Concluida",IF(F7&gt;0,"Em progresso","Nao iniciada"))</f>
        <v>Em progresso</v>
      </c>
    </row>
    <row r="8" customFormat="false" ht="15" hidden="false" customHeight="false" outlineLevel="0" collapsed="false">
      <c r="A8" s="4" t="s">
        <v>200</v>
      </c>
      <c r="B8" s="4" t="s">
        <v>36</v>
      </c>
      <c r="C8" s="4" t="n">
        <v>0</v>
      </c>
      <c r="D8" s="4" t="n">
        <v>2000</v>
      </c>
      <c r="E8" s="4" t="n">
        <v>0</v>
      </c>
      <c r="F8" s="10" t="n">
        <f aca="false">IF(D8=0,0,E8/D8)</f>
        <v>0</v>
      </c>
      <c r="G8" s="4" t="str">
        <f aca="false">IF(F8&gt;=1,"Concluida",IF(F8&gt;0,"Em progresso","Nao iniciada"))</f>
        <v>Nao iniciada</v>
      </c>
    </row>
    <row r="9" customFormat="false" ht="15" hidden="false" customHeight="false" outlineLevel="0" collapsed="false">
      <c r="A9" s="4" t="s">
        <v>201</v>
      </c>
      <c r="B9" s="4" t="s">
        <v>36</v>
      </c>
      <c r="C9" s="4" t="n">
        <v>0</v>
      </c>
      <c r="D9" s="4" t="n">
        <v>300</v>
      </c>
      <c r="E9" s="4" t="n">
        <v>0</v>
      </c>
      <c r="F9" s="10" t="n">
        <f aca="false">IF(D9=0,0,E9/D9)</f>
        <v>0</v>
      </c>
      <c r="G9" s="4" t="str">
        <f aca="false">IF(F9&gt;=1,"Concluida",IF(F9&gt;0,"Em progresso","Nao iniciada"))</f>
        <v>Nao iniciada</v>
      </c>
    </row>
    <row r="10" customFormat="false" ht="15" hidden="false" customHeight="false" outlineLevel="0" collapsed="false">
      <c r="A10" s="4" t="s">
        <v>222</v>
      </c>
      <c r="B10" s="4" t="s">
        <v>223</v>
      </c>
      <c r="C10" s="4" t="n">
        <v>0</v>
      </c>
      <c r="D10" s="4" t="n">
        <v>12</v>
      </c>
      <c r="E10" s="4" t="n">
        <v>0</v>
      </c>
      <c r="F10" s="10" t="n">
        <f aca="false">IF(D10=0,0,E10/D10)</f>
        <v>0</v>
      </c>
      <c r="G10" s="4" t="str">
        <f aca="false">IF(F10&gt;=1,"Concluida",IF(F10&gt;0,"Em progresso","Nao iniciada"))</f>
        <v>Nao iniciada</v>
      </c>
    </row>
    <row r="11" customFormat="false" ht="15" hidden="false" customHeight="false" outlineLevel="0" collapsed="false">
      <c r="A11" s="4" t="s">
        <v>224</v>
      </c>
      <c r="B11" s="4" t="s">
        <v>223</v>
      </c>
      <c r="C11" s="4" t="n">
        <v>0</v>
      </c>
      <c r="D11" s="4" t="n">
        <v>60</v>
      </c>
      <c r="E11" s="4" t="n">
        <v>0</v>
      </c>
      <c r="F11" s="10" t="n">
        <f aca="false">IF(D11=0,0,E11/D11)</f>
        <v>0</v>
      </c>
      <c r="G11" s="4" t="str">
        <f aca="false">IF(F11&gt;=1,"Concluida",IF(F11&gt;0,"Em progresso","Nao iniciada"))</f>
        <v>Nao iniciada</v>
      </c>
    </row>
    <row r="12" customFormat="false" ht="15" hidden="false" customHeight="false" outlineLevel="0" collapsed="false">
      <c r="A12" s="4" t="s">
        <v>225</v>
      </c>
      <c r="B12" s="4" t="s">
        <v>226</v>
      </c>
      <c r="C12" s="4" t="n">
        <v>0</v>
      </c>
      <c r="D12" s="4" t="n">
        <v>6</v>
      </c>
      <c r="E12" s="4" t="n">
        <v>0</v>
      </c>
      <c r="F12" s="10" t="n">
        <f aca="false">IF(D12=0,0,E12/D12)</f>
        <v>0</v>
      </c>
      <c r="G12" s="4" t="str">
        <f aca="false">IF(F12&gt;=1,"Concluida",IF(F12&gt;0,"Em progresso","Nao iniciada"))</f>
        <v>Nao iniciada</v>
      </c>
    </row>
    <row r="13" customFormat="false" ht="15" hidden="false" customHeight="false" outlineLevel="0" collapsed="false">
      <c r="A13" s="4" t="s">
        <v>227</v>
      </c>
      <c r="B13" s="4" t="s">
        <v>226</v>
      </c>
      <c r="C13" s="4" t="n">
        <v>0</v>
      </c>
      <c r="D13" s="4" t="n">
        <v>5000</v>
      </c>
      <c r="E13" s="4" t="n">
        <v>0</v>
      </c>
      <c r="F13" s="10" t="n">
        <f aca="false">IF(D13=0,0,E13/D13)</f>
        <v>0</v>
      </c>
      <c r="G13" s="4" t="str">
        <f aca="false">IF(F13&gt;=1,"Concluida",IF(F13&gt;0,"Em progresso","Nao iniciada"))</f>
        <v>Nao iniciada</v>
      </c>
    </row>
    <row r="14" customFormat="false" ht="15" hidden="false" customHeight="false" outlineLevel="0" collapsed="false">
      <c r="A14" s="4" t="s">
        <v>228</v>
      </c>
      <c r="B14" s="4" t="s">
        <v>229</v>
      </c>
      <c r="C14" s="4" t="n">
        <v>0</v>
      </c>
      <c r="D14" s="4" t="n">
        <v>8</v>
      </c>
      <c r="E14" s="4" t="n">
        <v>0</v>
      </c>
      <c r="F14" s="10" t="n">
        <f aca="false">IF(D14=0,0,E14/D14)</f>
        <v>0</v>
      </c>
      <c r="G14" s="4" t="str">
        <f aca="false">IF(F14&gt;=1,"Concluida",IF(F14&gt;0,"Em progresso","Nao iniciada"))</f>
        <v>Nao iniciada</v>
      </c>
    </row>
    <row r="17" customFormat="false" ht="15" hidden="false" customHeight="false" outlineLevel="0" collapsed="false">
      <c r="A17" s="11" t="s">
        <v>230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2026-05-14T11:33:33Z</dcterms:created>
  <dc:creator>openpyxl</dc:creator>
  <dc:description/>
  <dc:language>en-US</dc:language>
  <cp:lastModifiedBy/>
  <dcterms:modified xsi:type="dcterms:W3CDTF">2026-05-14T11:33:33Z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